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\Documents\Statistics_I\Hw\"/>
    </mc:Choice>
  </mc:AlternateContent>
  <xr:revisionPtr revIDLastSave="0" documentId="13_ncr:1_{860C5D4B-E383-4B87-B8B4-2203E5D04929}" xr6:coauthVersionLast="47" xr6:coauthVersionMax="47" xr10:uidLastSave="{00000000-0000-0000-0000-000000000000}"/>
  <bookViews>
    <workbookView xWindow="-108" yWindow="-108" windowWidth="23256" windowHeight="12456" activeTab="2" xr2:uid="{359D0603-94CC-41E7-AF03-CA00EF281B71}"/>
  </bookViews>
  <sheets>
    <sheet name="Global_Mobile_Prices_2025_Exten" sheetId="1" r:id="rId1"/>
    <sheet name="Grouping (Lorenz)" sheetId="5" r:id="rId2"/>
    <sheet name="Box-plots" sheetId="6" r:id="rId3"/>
  </sheets>
  <definedNames>
    <definedName name="_xlchart.v1.0" hidden="1">Global_Mobile_Prices_2025_Exten!$C$1</definedName>
    <definedName name="_xlchart.v1.1" hidden="1">Global_Mobile_Prices_2025_Exten!$C$2:$C$1001</definedName>
    <definedName name="_xlchart.v1.2" hidden="1">'Box-plots'!$C$2:$C$1001</definedName>
    <definedName name="_xlchart.v1.3" hidden="1">'Box-plots'!$A$2:$A$1001</definedName>
    <definedName name="_xlchart.v1.4" hidden="1">'Box-plots'!$D$2:$D$1001</definedName>
    <definedName name="_xlchart.v1.5" hidden="1">'Box-plots'!$B$2:$B$1001</definedName>
    <definedName name="_xlchart.v1.6" hidden="1">'Box-plots'!$D$2:$D$1001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 a="1"/>
  <c r="S34" i="1"/>
  <c r="S35" i="1"/>
  <c r="P3" i="5"/>
  <c r="P2" i="5"/>
  <c r="H33" i="5"/>
  <c r="H34" i="5"/>
  <c r="H35" i="5"/>
  <c r="H36" i="5"/>
  <c r="H37" i="5"/>
  <c r="H38" i="5"/>
  <c r="H39" i="5"/>
  <c r="H40" i="5"/>
  <c r="H41" i="5"/>
  <c r="H42" i="5"/>
  <c r="G33" i="5"/>
  <c r="K33" i="5"/>
  <c r="G42" i="5"/>
  <c r="K42" i="5"/>
  <c r="G41" i="5"/>
  <c r="K41" i="5"/>
  <c r="G40" i="5"/>
  <c r="K40" i="5"/>
  <c r="G39" i="5"/>
  <c r="K39" i="5"/>
  <c r="G38" i="5"/>
  <c r="K38" i="5"/>
  <c r="G37" i="5"/>
  <c r="K37" i="5"/>
  <c r="G36" i="5"/>
  <c r="K36" i="5"/>
  <c r="G35" i="5"/>
  <c r="K35" i="5"/>
  <c r="H19" i="5"/>
  <c r="H20" i="5"/>
  <c r="H21" i="5"/>
  <c r="H22" i="5"/>
  <c r="H23" i="5"/>
  <c r="H24" i="5"/>
  <c r="H25" i="5"/>
  <c r="H26" i="5"/>
  <c r="H27" i="5"/>
  <c r="H28" i="5"/>
  <c r="G19" i="5"/>
  <c r="K19" i="5"/>
  <c r="H5" i="5"/>
  <c r="H6" i="5"/>
  <c r="H7" i="5"/>
  <c r="H8" i="5"/>
  <c r="H9" i="5"/>
  <c r="H10" i="5"/>
  <c r="H11" i="5"/>
  <c r="H12" i="5"/>
  <c r="H13" i="5"/>
  <c r="H14" i="5"/>
  <c r="G5" i="5"/>
  <c r="K5" i="5"/>
  <c r="Q281" i="5"/>
  <c r="P254" i="5"/>
  <c r="O257" i="5"/>
  <c r="G28" i="5"/>
  <c r="K28" i="5"/>
  <c r="G27" i="5"/>
  <c r="K27" i="5"/>
  <c r="G26" i="5"/>
  <c r="K26" i="5"/>
  <c r="G25" i="5"/>
  <c r="K25" i="5"/>
  <c r="G24" i="5"/>
  <c r="K24" i="5"/>
  <c r="G23" i="5"/>
  <c r="K23" i="5"/>
  <c r="G22" i="5"/>
  <c r="K22" i="5"/>
  <c r="G21" i="5"/>
  <c r="K21" i="5"/>
  <c r="G13" i="5"/>
  <c r="K13" i="5"/>
  <c r="G7" i="5"/>
  <c r="K7" i="5"/>
  <c r="G8" i="5"/>
  <c r="K8" i="5"/>
  <c r="G9" i="5"/>
  <c r="K9" i="5"/>
  <c r="G10" i="5"/>
  <c r="K10" i="5"/>
  <c r="G11" i="5"/>
  <c r="K11" i="5"/>
  <c r="G12" i="5"/>
  <c r="K12" i="5"/>
  <c r="G14" i="5"/>
  <c r="K14" i="5"/>
  <c r="C3" i="5" a="1"/>
  <c r="C3" i="5"/>
  <c r="C4" i="5" a="1"/>
  <c r="C4" i="5"/>
  <c r="C5" i="5" a="1"/>
  <c r="C5" i="5"/>
  <c r="C6" i="5" a="1"/>
  <c r="C6" i="5"/>
  <c r="C7" i="5" a="1"/>
  <c r="C7" i="5"/>
  <c r="C8" i="5" a="1"/>
  <c r="C8" i="5"/>
  <c r="C9" i="5" a="1"/>
  <c r="C9" i="5"/>
  <c r="C10" i="5" a="1"/>
  <c r="C10" i="5"/>
  <c r="C11" i="5" a="1"/>
  <c r="C11" i="5"/>
  <c r="C12" i="5" a="1"/>
  <c r="C12" i="5"/>
  <c r="C13" i="5" a="1"/>
  <c r="C13" i="5"/>
  <c r="C14" i="5" a="1"/>
  <c r="C14" i="5"/>
  <c r="C15" i="5" a="1"/>
  <c r="C15" i="5"/>
  <c r="C16" i="5" a="1"/>
  <c r="C16" i="5"/>
  <c r="C17" i="5" a="1"/>
  <c r="C17" i="5"/>
  <c r="C18" i="5" a="1"/>
  <c r="C18" i="5"/>
  <c r="C19" i="5" a="1"/>
  <c r="C19" i="5"/>
  <c r="C20" i="5" a="1"/>
  <c r="C20" i="5"/>
  <c r="C21" i="5" a="1"/>
  <c r="C21" i="5"/>
  <c r="C22" i="5" a="1"/>
  <c r="C22" i="5"/>
  <c r="C23" i="5" a="1"/>
  <c r="C23" i="5"/>
  <c r="C24" i="5" a="1"/>
  <c r="C24" i="5"/>
  <c r="C25" i="5" a="1"/>
  <c r="C25" i="5"/>
  <c r="C26" i="5" a="1"/>
  <c r="C26" i="5"/>
  <c r="C27" i="5" a="1"/>
  <c r="C27" i="5"/>
  <c r="C28" i="5" a="1"/>
  <c r="C28" i="5"/>
  <c r="C29" i="5" a="1"/>
  <c r="C29" i="5"/>
  <c r="C30" i="5" a="1"/>
  <c r="C30" i="5"/>
  <c r="C31" i="5" a="1"/>
  <c r="C31" i="5"/>
  <c r="C32" i="5" a="1"/>
  <c r="C32" i="5"/>
  <c r="C682" i="5" a="1"/>
  <c r="C682" i="5"/>
  <c r="C683" i="5" a="1"/>
  <c r="C683" i="5"/>
  <c r="C684" i="5" a="1"/>
  <c r="C684" i="5"/>
  <c r="C685" i="5" a="1"/>
  <c r="C685" i="5"/>
  <c r="C686" i="5" a="1"/>
  <c r="C686" i="5"/>
  <c r="C687" i="5" a="1"/>
  <c r="C687" i="5"/>
  <c r="C688" i="5" a="1"/>
  <c r="C688" i="5"/>
  <c r="C689" i="5" a="1"/>
  <c r="C689" i="5"/>
  <c r="C690" i="5" a="1"/>
  <c r="C690" i="5"/>
  <c r="C691" i="5" a="1"/>
  <c r="C691" i="5"/>
  <c r="C692" i="5" a="1"/>
  <c r="C692" i="5"/>
  <c r="C693" i="5" a="1"/>
  <c r="C693" i="5"/>
  <c r="C694" i="5" a="1"/>
  <c r="C694" i="5"/>
  <c r="C695" i="5" a="1"/>
  <c r="C695" i="5"/>
  <c r="C696" i="5" a="1"/>
  <c r="C696" i="5"/>
  <c r="C697" i="5" a="1"/>
  <c r="C697" i="5"/>
  <c r="C698" i="5" a="1"/>
  <c r="C698" i="5"/>
  <c r="C699" i="5" a="1"/>
  <c r="C699" i="5"/>
  <c r="C700" i="5" a="1"/>
  <c r="C700" i="5"/>
  <c r="C33" i="5" a="1"/>
  <c r="C33" i="5"/>
  <c r="C34" i="5" a="1"/>
  <c r="C34" i="5"/>
  <c r="C35" i="5" a="1"/>
  <c r="C35" i="5"/>
  <c r="C36" i="5" a="1"/>
  <c r="C36" i="5"/>
  <c r="C37" i="5" a="1"/>
  <c r="C37" i="5"/>
  <c r="C38" i="5" a="1"/>
  <c r="C38" i="5"/>
  <c r="C39" i="5" a="1"/>
  <c r="C39" i="5"/>
  <c r="C40" i="5" a="1"/>
  <c r="C40" i="5"/>
  <c r="C41" i="5" a="1"/>
  <c r="C41" i="5"/>
  <c r="C42" i="5" a="1"/>
  <c r="C42" i="5"/>
  <c r="C43" i="5" a="1"/>
  <c r="C43" i="5"/>
  <c r="C44" i="5" a="1"/>
  <c r="C44" i="5"/>
  <c r="C45" i="5" a="1"/>
  <c r="C45" i="5"/>
  <c r="C46" i="5" a="1"/>
  <c r="C46" i="5"/>
  <c r="C47" i="5" a="1"/>
  <c r="C47" i="5"/>
  <c r="C48" i="5" a="1"/>
  <c r="C48" i="5"/>
  <c r="C49" i="5" a="1"/>
  <c r="C49" i="5"/>
  <c r="C50" i="5" a="1"/>
  <c r="C50" i="5"/>
  <c r="C51" i="5" a="1"/>
  <c r="C51" i="5"/>
  <c r="C52" i="5" a="1"/>
  <c r="C52" i="5"/>
  <c r="C53" i="5" a="1"/>
  <c r="C53" i="5"/>
  <c r="C54" i="5" a="1"/>
  <c r="C54" i="5"/>
  <c r="C55" i="5" a="1"/>
  <c r="C55" i="5"/>
  <c r="C56" i="5" a="1"/>
  <c r="C56" i="5"/>
  <c r="C57" i="5" a="1"/>
  <c r="C57" i="5"/>
  <c r="C58" i="5" a="1"/>
  <c r="C58" i="5"/>
  <c r="C59" i="5" a="1"/>
  <c r="C59" i="5"/>
  <c r="C60" i="5" a="1"/>
  <c r="C60" i="5"/>
  <c r="C61" i="5" a="1"/>
  <c r="C61" i="5"/>
  <c r="C62" i="5" a="1"/>
  <c r="C62" i="5"/>
  <c r="C63" i="5" a="1"/>
  <c r="C63" i="5"/>
  <c r="C64" i="5" a="1"/>
  <c r="C64" i="5"/>
  <c r="C65" i="5" a="1"/>
  <c r="C65" i="5"/>
  <c r="C66" i="5" a="1"/>
  <c r="C66" i="5"/>
  <c r="C67" i="5" a="1"/>
  <c r="C67" i="5"/>
  <c r="C68" i="5" a="1"/>
  <c r="C68" i="5"/>
  <c r="C69" i="5" a="1"/>
  <c r="C69" i="5"/>
  <c r="C70" i="5" a="1"/>
  <c r="C70" i="5"/>
  <c r="C71" i="5" a="1"/>
  <c r="C71" i="5"/>
  <c r="C701" i="5" a="1"/>
  <c r="C701" i="5"/>
  <c r="C702" i="5" a="1"/>
  <c r="C702" i="5"/>
  <c r="C703" i="5" a="1"/>
  <c r="C703" i="5"/>
  <c r="C704" i="5" a="1"/>
  <c r="C704" i="5"/>
  <c r="C705" i="5" a="1"/>
  <c r="C705" i="5"/>
  <c r="C706" i="5" a="1"/>
  <c r="C706" i="5"/>
  <c r="C707" i="5" a="1"/>
  <c r="C707" i="5"/>
  <c r="C708" i="5" a="1"/>
  <c r="C708" i="5"/>
  <c r="C709" i="5" a="1"/>
  <c r="C709" i="5"/>
  <c r="C710" i="5" a="1"/>
  <c r="C710" i="5"/>
  <c r="C711" i="5" a="1"/>
  <c r="C711" i="5"/>
  <c r="C712" i="5" a="1"/>
  <c r="C712" i="5"/>
  <c r="C713" i="5" a="1"/>
  <c r="C713" i="5"/>
  <c r="C714" i="5" a="1"/>
  <c r="C714" i="5"/>
  <c r="C715" i="5" a="1"/>
  <c r="C715" i="5"/>
  <c r="C716" i="5" a="1"/>
  <c r="C716" i="5"/>
  <c r="C717" i="5" a="1"/>
  <c r="C717" i="5"/>
  <c r="C72" i="5" a="1"/>
  <c r="C72" i="5"/>
  <c r="C73" i="5" a="1"/>
  <c r="C73" i="5"/>
  <c r="C74" i="5" a="1"/>
  <c r="C74" i="5"/>
  <c r="C75" i="5" a="1"/>
  <c r="C75" i="5"/>
  <c r="C76" i="5" a="1"/>
  <c r="C76" i="5"/>
  <c r="C77" i="5" a="1"/>
  <c r="C77" i="5"/>
  <c r="C78" i="5" a="1"/>
  <c r="C78" i="5"/>
  <c r="C79" i="5" a="1"/>
  <c r="C79" i="5"/>
  <c r="C80" i="5" a="1"/>
  <c r="C80" i="5"/>
  <c r="C81" i="5" a="1"/>
  <c r="C81" i="5"/>
  <c r="C82" i="5" a="1"/>
  <c r="C82" i="5"/>
  <c r="C83" i="5" a="1"/>
  <c r="C83" i="5"/>
  <c r="C84" i="5" a="1"/>
  <c r="C84" i="5"/>
  <c r="C85" i="5" a="1"/>
  <c r="C85" i="5"/>
  <c r="C86" i="5" a="1"/>
  <c r="C86" i="5"/>
  <c r="C87" i="5" a="1"/>
  <c r="C87" i="5"/>
  <c r="C88" i="5" a="1"/>
  <c r="C88" i="5"/>
  <c r="C89" i="5" a="1"/>
  <c r="C89" i="5"/>
  <c r="C90" i="5" a="1"/>
  <c r="C90" i="5"/>
  <c r="C91" i="5" a="1"/>
  <c r="C91" i="5"/>
  <c r="C92" i="5" a="1"/>
  <c r="C92" i="5"/>
  <c r="C93" i="5" a="1"/>
  <c r="C93" i="5"/>
  <c r="C94" i="5" a="1"/>
  <c r="C94" i="5"/>
  <c r="C95" i="5" a="1"/>
  <c r="C95" i="5"/>
  <c r="C96" i="5" a="1"/>
  <c r="C96" i="5"/>
  <c r="C97" i="5" a="1"/>
  <c r="C97" i="5"/>
  <c r="C98" i="5" a="1"/>
  <c r="C98" i="5"/>
  <c r="C99" i="5" a="1"/>
  <c r="C99" i="5"/>
  <c r="C100" i="5" a="1"/>
  <c r="C100" i="5"/>
  <c r="C101" i="5" a="1"/>
  <c r="C101" i="5"/>
  <c r="C102" i="5" a="1"/>
  <c r="C102" i="5"/>
  <c r="C718" i="5" a="1"/>
  <c r="C718" i="5"/>
  <c r="C719" i="5" a="1"/>
  <c r="C719" i="5"/>
  <c r="C720" i="5" a="1"/>
  <c r="C720" i="5"/>
  <c r="C721" i="5" a="1"/>
  <c r="C721" i="5"/>
  <c r="C722" i="5" a="1"/>
  <c r="C722" i="5"/>
  <c r="C723" i="5" a="1"/>
  <c r="C723" i="5"/>
  <c r="C724" i="5" a="1"/>
  <c r="C724" i="5"/>
  <c r="C725" i="5" a="1"/>
  <c r="C725" i="5"/>
  <c r="C726" i="5" a="1"/>
  <c r="C726" i="5"/>
  <c r="C727" i="5" a="1"/>
  <c r="C727" i="5"/>
  <c r="C728" i="5" a="1"/>
  <c r="C728" i="5"/>
  <c r="C729" i="5" a="1"/>
  <c r="C729" i="5"/>
  <c r="C730" i="5" a="1"/>
  <c r="C730" i="5"/>
  <c r="C731" i="5" a="1"/>
  <c r="C731" i="5"/>
  <c r="C732" i="5" a="1"/>
  <c r="C732" i="5"/>
  <c r="C733" i="5" a="1"/>
  <c r="C733" i="5"/>
  <c r="C734" i="5" a="1"/>
  <c r="C734" i="5"/>
  <c r="C735" i="5" a="1"/>
  <c r="C735" i="5"/>
  <c r="C736" i="5" a="1"/>
  <c r="C736" i="5"/>
  <c r="C103" i="5" a="1"/>
  <c r="C103" i="5"/>
  <c r="C104" i="5" a="1"/>
  <c r="C104" i="5"/>
  <c r="C105" i="5" a="1"/>
  <c r="C105" i="5"/>
  <c r="C106" i="5" a="1"/>
  <c r="C106" i="5"/>
  <c r="C107" i="5" a="1"/>
  <c r="C107" i="5"/>
  <c r="C108" i="5" a="1"/>
  <c r="C108" i="5"/>
  <c r="C109" i="5" a="1"/>
  <c r="C109" i="5"/>
  <c r="C110" i="5" a="1"/>
  <c r="C110" i="5"/>
  <c r="C111" i="5" a="1"/>
  <c r="C111" i="5"/>
  <c r="C112" i="5" a="1"/>
  <c r="C112" i="5"/>
  <c r="C113" i="5" a="1"/>
  <c r="C113" i="5"/>
  <c r="C114" i="5" a="1"/>
  <c r="C114" i="5"/>
  <c r="C115" i="5" a="1"/>
  <c r="C115" i="5"/>
  <c r="C116" i="5" a="1"/>
  <c r="C116" i="5"/>
  <c r="C117" i="5" a="1"/>
  <c r="C117" i="5"/>
  <c r="C118" i="5" a="1"/>
  <c r="C118" i="5"/>
  <c r="C119" i="5" a="1"/>
  <c r="C119" i="5"/>
  <c r="C120" i="5" a="1"/>
  <c r="C120" i="5"/>
  <c r="C121" i="5" a="1"/>
  <c r="C121" i="5"/>
  <c r="C122" i="5" a="1"/>
  <c r="C122" i="5"/>
  <c r="C123" i="5" a="1"/>
  <c r="C123" i="5"/>
  <c r="C124" i="5" a="1"/>
  <c r="C124" i="5"/>
  <c r="C125" i="5" a="1"/>
  <c r="C125" i="5"/>
  <c r="C126" i="5" a="1"/>
  <c r="C126" i="5"/>
  <c r="C127" i="5" a="1"/>
  <c r="C127" i="5"/>
  <c r="C128" i="5" a="1"/>
  <c r="C128" i="5"/>
  <c r="C129" i="5" a="1"/>
  <c r="C129" i="5"/>
  <c r="C130" i="5" a="1"/>
  <c r="C130" i="5"/>
  <c r="C131" i="5" a="1"/>
  <c r="C131" i="5"/>
  <c r="C132" i="5" a="1"/>
  <c r="C132" i="5"/>
  <c r="C133" i="5" a="1"/>
  <c r="C133" i="5"/>
  <c r="C134" i="5" a="1"/>
  <c r="C134" i="5"/>
  <c r="C135" i="5" a="1"/>
  <c r="C135" i="5"/>
  <c r="C136" i="5" a="1"/>
  <c r="C136" i="5"/>
  <c r="C137" i="5" a="1"/>
  <c r="C137" i="5"/>
  <c r="C138" i="5" a="1"/>
  <c r="C138" i="5"/>
  <c r="C737" i="5" a="1"/>
  <c r="C737" i="5"/>
  <c r="C738" i="5" a="1"/>
  <c r="C738" i="5"/>
  <c r="C739" i="5" a="1"/>
  <c r="C739" i="5"/>
  <c r="C740" i="5" a="1"/>
  <c r="C740" i="5"/>
  <c r="C741" i="5" a="1"/>
  <c r="C741" i="5"/>
  <c r="C742" i="5" a="1"/>
  <c r="C742" i="5"/>
  <c r="C743" i="5" a="1"/>
  <c r="C743" i="5"/>
  <c r="C744" i="5" a="1"/>
  <c r="C744" i="5"/>
  <c r="C745" i="5" a="1"/>
  <c r="C745" i="5"/>
  <c r="C746" i="5" a="1"/>
  <c r="C746" i="5"/>
  <c r="C747" i="5" a="1"/>
  <c r="C747" i="5"/>
  <c r="C748" i="5" a="1"/>
  <c r="C748" i="5"/>
  <c r="C749" i="5" a="1"/>
  <c r="C749" i="5"/>
  <c r="C750" i="5" a="1"/>
  <c r="C750" i="5"/>
  <c r="C751" i="5" a="1"/>
  <c r="C751" i="5"/>
  <c r="C752" i="5" a="1"/>
  <c r="C752" i="5"/>
  <c r="C753" i="5" a="1"/>
  <c r="C753" i="5"/>
  <c r="C754" i="5" a="1"/>
  <c r="C754" i="5"/>
  <c r="C755" i="5" a="1"/>
  <c r="C755" i="5"/>
  <c r="C756" i="5" a="1"/>
  <c r="C756" i="5"/>
  <c r="C139" i="5" a="1"/>
  <c r="C139" i="5"/>
  <c r="C140" i="5" a="1"/>
  <c r="C140" i="5"/>
  <c r="C141" i="5" a="1"/>
  <c r="C141" i="5"/>
  <c r="C142" i="5" a="1"/>
  <c r="C142" i="5"/>
  <c r="C143" i="5" a="1"/>
  <c r="C143" i="5"/>
  <c r="C144" i="5" a="1"/>
  <c r="C144" i="5"/>
  <c r="C145" i="5" a="1"/>
  <c r="C145" i="5"/>
  <c r="C146" i="5" a="1"/>
  <c r="C146" i="5"/>
  <c r="C147" i="5" a="1"/>
  <c r="C147" i="5"/>
  <c r="C148" i="5" a="1"/>
  <c r="C148" i="5"/>
  <c r="C149" i="5" a="1"/>
  <c r="C149" i="5"/>
  <c r="C150" i="5" a="1"/>
  <c r="C150" i="5"/>
  <c r="C151" i="5" a="1"/>
  <c r="C151" i="5"/>
  <c r="C152" i="5" a="1"/>
  <c r="C152" i="5"/>
  <c r="C153" i="5" a="1"/>
  <c r="C153" i="5"/>
  <c r="C154" i="5" a="1"/>
  <c r="C154" i="5"/>
  <c r="C155" i="5" a="1"/>
  <c r="C155" i="5"/>
  <c r="C156" i="5" a="1"/>
  <c r="C156" i="5"/>
  <c r="C157" i="5" a="1"/>
  <c r="C157" i="5"/>
  <c r="C158" i="5" a="1"/>
  <c r="C158" i="5"/>
  <c r="C159" i="5" a="1"/>
  <c r="C159" i="5"/>
  <c r="C160" i="5" a="1"/>
  <c r="C160" i="5"/>
  <c r="C161" i="5" a="1"/>
  <c r="C161" i="5"/>
  <c r="C162" i="5" a="1"/>
  <c r="C162" i="5"/>
  <c r="C163" i="5" a="1"/>
  <c r="C163" i="5"/>
  <c r="C164" i="5" a="1"/>
  <c r="C164" i="5"/>
  <c r="C165" i="5" a="1"/>
  <c r="C165" i="5"/>
  <c r="C166" i="5" a="1"/>
  <c r="C166" i="5"/>
  <c r="C167" i="5" a="1"/>
  <c r="C167" i="5"/>
  <c r="C168" i="5" a="1"/>
  <c r="C168" i="5"/>
  <c r="C169" i="5" a="1"/>
  <c r="C169" i="5"/>
  <c r="C170" i="5" a="1"/>
  <c r="C170" i="5"/>
  <c r="C171" i="5" a="1"/>
  <c r="C171" i="5"/>
  <c r="C172" i="5" a="1"/>
  <c r="C172" i="5"/>
  <c r="C757" i="5" a="1"/>
  <c r="C757" i="5"/>
  <c r="C758" i="5" a="1"/>
  <c r="C758" i="5"/>
  <c r="C759" i="5" a="1"/>
  <c r="C759" i="5"/>
  <c r="C760" i="5" a="1"/>
  <c r="C760" i="5"/>
  <c r="C761" i="5" a="1"/>
  <c r="C761" i="5"/>
  <c r="C762" i="5" a="1"/>
  <c r="C762" i="5"/>
  <c r="C763" i="5" a="1"/>
  <c r="C763" i="5"/>
  <c r="C764" i="5" a="1"/>
  <c r="C764" i="5"/>
  <c r="C765" i="5" a="1"/>
  <c r="C765" i="5"/>
  <c r="C766" i="5" a="1"/>
  <c r="C766" i="5"/>
  <c r="C767" i="5" a="1"/>
  <c r="C767" i="5"/>
  <c r="C768" i="5" a="1"/>
  <c r="C768" i="5"/>
  <c r="C769" i="5" a="1"/>
  <c r="C769" i="5"/>
  <c r="C770" i="5" a="1"/>
  <c r="C770" i="5"/>
  <c r="C771" i="5" a="1"/>
  <c r="C771" i="5"/>
  <c r="C772" i="5" a="1"/>
  <c r="C772" i="5"/>
  <c r="C773" i="5" a="1"/>
  <c r="C773" i="5"/>
  <c r="C774" i="5" a="1"/>
  <c r="C774" i="5"/>
  <c r="C173" i="5" a="1"/>
  <c r="C173" i="5"/>
  <c r="C174" i="5" a="1"/>
  <c r="C174" i="5"/>
  <c r="C175" i="5" a="1"/>
  <c r="C175" i="5"/>
  <c r="C176" i="5" a="1"/>
  <c r="C176" i="5"/>
  <c r="C177" i="5" a="1"/>
  <c r="C177" i="5"/>
  <c r="C178" i="5" a="1"/>
  <c r="C178" i="5"/>
  <c r="C179" i="5" a="1"/>
  <c r="C179" i="5"/>
  <c r="C180" i="5" a="1"/>
  <c r="C180" i="5"/>
  <c r="C181" i="5" a="1"/>
  <c r="C181" i="5"/>
  <c r="C182" i="5" a="1"/>
  <c r="C182" i="5"/>
  <c r="C183" i="5" a="1"/>
  <c r="C183" i="5"/>
  <c r="C184" i="5" a="1"/>
  <c r="C184" i="5"/>
  <c r="C185" i="5" a="1"/>
  <c r="C185" i="5"/>
  <c r="C186" i="5" a="1"/>
  <c r="C186" i="5"/>
  <c r="C187" i="5" a="1"/>
  <c r="C187" i="5"/>
  <c r="C188" i="5" a="1"/>
  <c r="C188" i="5"/>
  <c r="C189" i="5" a="1"/>
  <c r="C189" i="5"/>
  <c r="C190" i="5" a="1"/>
  <c r="C190" i="5"/>
  <c r="C191" i="5" a="1"/>
  <c r="C191" i="5"/>
  <c r="C192" i="5" a="1"/>
  <c r="C192" i="5"/>
  <c r="C193" i="5" a="1"/>
  <c r="C193" i="5"/>
  <c r="C194" i="5" a="1"/>
  <c r="C194" i="5"/>
  <c r="C195" i="5" a="1"/>
  <c r="C195" i="5"/>
  <c r="C196" i="5" a="1"/>
  <c r="C196" i="5"/>
  <c r="C197" i="5" a="1"/>
  <c r="C197" i="5"/>
  <c r="C198" i="5" a="1"/>
  <c r="C198" i="5"/>
  <c r="C199" i="5" a="1"/>
  <c r="C199" i="5"/>
  <c r="C200" i="5" a="1"/>
  <c r="C200" i="5"/>
  <c r="C201" i="5" a="1"/>
  <c r="C201" i="5"/>
  <c r="C202" i="5" a="1"/>
  <c r="C202" i="5"/>
  <c r="C203" i="5" a="1"/>
  <c r="C203" i="5"/>
  <c r="C204" i="5" a="1"/>
  <c r="C204" i="5"/>
  <c r="C205" i="5" a="1"/>
  <c r="C205" i="5"/>
  <c r="C206" i="5" a="1"/>
  <c r="C206" i="5"/>
  <c r="C207" i="5" a="1"/>
  <c r="C207" i="5"/>
  <c r="C208" i="5" a="1"/>
  <c r="C208" i="5"/>
  <c r="C209" i="5" a="1"/>
  <c r="C209" i="5"/>
  <c r="C210" i="5" a="1"/>
  <c r="C210" i="5"/>
  <c r="C775" i="5" a="1"/>
  <c r="C775" i="5"/>
  <c r="C776" i="5" a="1"/>
  <c r="C776" i="5"/>
  <c r="C777" i="5" a="1"/>
  <c r="C777" i="5"/>
  <c r="C778" i="5" a="1"/>
  <c r="C778" i="5"/>
  <c r="C779" i="5" a="1"/>
  <c r="C779" i="5"/>
  <c r="C780" i="5" a="1"/>
  <c r="C780" i="5"/>
  <c r="C781" i="5" a="1"/>
  <c r="C781" i="5"/>
  <c r="C782" i="5" a="1"/>
  <c r="C782" i="5"/>
  <c r="C783" i="5" a="1"/>
  <c r="C783" i="5"/>
  <c r="C784" i="5" a="1"/>
  <c r="C784" i="5"/>
  <c r="C211" i="5" a="1"/>
  <c r="C211" i="5"/>
  <c r="C212" i="5" a="1"/>
  <c r="C212" i="5"/>
  <c r="C213" i="5" a="1"/>
  <c r="C213" i="5"/>
  <c r="C214" i="5" a="1"/>
  <c r="C214" i="5"/>
  <c r="C215" i="5" a="1"/>
  <c r="C215" i="5"/>
  <c r="C216" i="5" a="1"/>
  <c r="C216" i="5"/>
  <c r="C217" i="5" a="1"/>
  <c r="C217" i="5"/>
  <c r="C218" i="5" a="1"/>
  <c r="C218" i="5"/>
  <c r="C219" i="5" a="1"/>
  <c r="C219" i="5"/>
  <c r="C220" i="5" a="1"/>
  <c r="C220" i="5"/>
  <c r="C221" i="5" a="1"/>
  <c r="C221" i="5"/>
  <c r="C222" i="5" a="1"/>
  <c r="C222" i="5"/>
  <c r="C223" i="5" a="1"/>
  <c r="C223" i="5"/>
  <c r="C224" i="5" a="1"/>
  <c r="C224" i="5"/>
  <c r="C225" i="5" a="1"/>
  <c r="C225" i="5"/>
  <c r="C226" i="5" a="1"/>
  <c r="C226" i="5"/>
  <c r="C227" i="5" a="1"/>
  <c r="C227" i="5"/>
  <c r="C228" i="5" a="1"/>
  <c r="C228" i="5"/>
  <c r="C229" i="5" a="1"/>
  <c r="C229" i="5"/>
  <c r="C230" i="5" a="1"/>
  <c r="C230" i="5"/>
  <c r="C231" i="5" a="1"/>
  <c r="C231" i="5"/>
  <c r="C232" i="5" a="1"/>
  <c r="C232" i="5"/>
  <c r="C233" i="5" a="1"/>
  <c r="C233" i="5"/>
  <c r="C234" i="5" a="1"/>
  <c r="C234" i="5"/>
  <c r="C235" i="5" a="1"/>
  <c r="C235" i="5"/>
  <c r="C236" i="5" a="1"/>
  <c r="C236" i="5"/>
  <c r="C237" i="5" a="1"/>
  <c r="C237" i="5"/>
  <c r="C238" i="5" a="1"/>
  <c r="C238" i="5"/>
  <c r="C239" i="5" a="1"/>
  <c r="C239" i="5"/>
  <c r="C240" i="5" a="1"/>
  <c r="C240" i="5"/>
  <c r="C241" i="5" a="1"/>
  <c r="C241" i="5"/>
  <c r="C242" i="5" a="1"/>
  <c r="C242" i="5"/>
  <c r="C243" i="5" a="1"/>
  <c r="C243" i="5"/>
  <c r="C244" i="5" a="1"/>
  <c r="C244" i="5"/>
  <c r="C785" i="5" a="1"/>
  <c r="C785" i="5"/>
  <c r="C786" i="5" a="1"/>
  <c r="C786" i="5"/>
  <c r="C787" i="5" a="1"/>
  <c r="C787" i="5"/>
  <c r="C788" i="5" a="1"/>
  <c r="C788" i="5"/>
  <c r="C789" i="5" a="1"/>
  <c r="C789" i="5"/>
  <c r="C790" i="5" a="1"/>
  <c r="C790" i="5"/>
  <c r="C791" i="5" a="1"/>
  <c r="C791" i="5"/>
  <c r="C792" i="5" a="1"/>
  <c r="C792" i="5"/>
  <c r="C793" i="5" a="1"/>
  <c r="C793" i="5"/>
  <c r="C794" i="5" a="1"/>
  <c r="C794" i="5"/>
  <c r="C795" i="5" a="1"/>
  <c r="C795" i="5"/>
  <c r="C796" i="5" a="1"/>
  <c r="C796" i="5"/>
  <c r="C797" i="5" a="1"/>
  <c r="C797" i="5"/>
  <c r="C798" i="5" a="1"/>
  <c r="C798" i="5"/>
  <c r="C799" i="5" a="1"/>
  <c r="C799" i="5"/>
  <c r="C800" i="5" a="1"/>
  <c r="C800" i="5"/>
  <c r="C801" i="5" a="1"/>
  <c r="C801" i="5"/>
  <c r="C802" i="5" a="1"/>
  <c r="C802" i="5"/>
  <c r="C803" i="5" a="1"/>
  <c r="C803" i="5"/>
  <c r="C245" i="5" a="1"/>
  <c r="C245" i="5"/>
  <c r="C246" i="5" a="1"/>
  <c r="C246" i="5"/>
  <c r="C247" i="5" a="1"/>
  <c r="C247" i="5"/>
  <c r="C248" i="5" a="1"/>
  <c r="C248" i="5"/>
  <c r="C249" i="5" a="1"/>
  <c r="C249" i="5"/>
  <c r="C250" i="5" a="1"/>
  <c r="C250" i="5"/>
  <c r="C251" i="5" a="1"/>
  <c r="C251" i="5"/>
  <c r="C252" i="5" a="1"/>
  <c r="C252" i="5"/>
  <c r="C253" i="5" a="1"/>
  <c r="C253" i="5"/>
  <c r="C254" i="5" a="1"/>
  <c r="C254" i="5"/>
  <c r="C255" i="5" a="1"/>
  <c r="C255" i="5"/>
  <c r="C256" i="5" a="1"/>
  <c r="C256" i="5"/>
  <c r="C257" i="5" a="1"/>
  <c r="C257" i="5"/>
  <c r="C258" i="5" a="1"/>
  <c r="C258" i="5"/>
  <c r="C259" i="5" a="1"/>
  <c r="C259" i="5"/>
  <c r="C260" i="5" a="1"/>
  <c r="C260" i="5"/>
  <c r="C261" i="5" a="1"/>
  <c r="C261" i="5"/>
  <c r="C262" i="5" a="1"/>
  <c r="C262" i="5"/>
  <c r="C263" i="5" a="1"/>
  <c r="C263" i="5"/>
  <c r="C264" i="5" a="1"/>
  <c r="C264" i="5"/>
  <c r="C265" i="5" a="1"/>
  <c r="C265" i="5"/>
  <c r="C266" i="5" a="1"/>
  <c r="C266" i="5"/>
  <c r="C267" i="5" a="1"/>
  <c r="C267" i="5"/>
  <c r="C268" i="5" a="1"/>
  <c r="C268" i="5"/>
  <c r="C269" i="5" a="1"/>
  <c r="C269" i="5"/>
  <c r="C270" i="5" a="1"/>
  <c r="C270" i="5"/>
  <c r="C271" i="5" a="1"/>
  <c r="C271" i="5"/>
  <c r="C272" i="5" a="1"/>
  <c r="C272" i="5"/>
  <c r="C273" i="5" a="1"/>
  <c r="C273" i="5"/>
  <c r="C274" i="5" a="1"/>
  <c r="C274" i="5"/>
  <c r="C275" i="5" a="1"/>
  <c r="C275" i="5"/>
  <c r="C276" i="5" a="1"/>
  <c r="C276" i="5"/>
  <c r="C277" i="5" a="1"/>
  <c r="C277" i="5"/>
  <c r="C278" i="5" a="1"/>
  <c r="C278" i="5"/>
  <c r="C279" i="5" a="1"/>
  <c r="C279" i="5"/>
  <c r="C280" i="5" a="1"/>
  <c r="C280" i="5"/>
  <c r="C281" i="5" a="1"/>
  <c r="C281" i="5"/>
  <c r="C282" i="5" a="1"/>
  <c r="C282" i="5"/>
  <c r="C283" i="5" a="1"/>
  <c r="C283" i="5"/>
  <c r="C284" i="5" a="1"/>
  <c r="C284" i="5"/>
  <c r="C285" i="5" a="1"/>
  <c r="C285" i="5"/>
  <c r="C286" i="5" a="1"/>
  <c r="C286" i="5"/>
  <c r="C287" i="5" a="1"/>
  <c r="C287" i="5"/>
  <c r="C288" i="5" a="1"/>
  <c r="C288" i="5"/>
  <c r="C804" i="5" a="1"/>
  <c r="C804" i="5"/>
  <c r="C805" i="5" a="1"/>
  <c r="C805" i="5"/>
  <c r="C806" i="5" a="1"/>
  <c r="C806" i="5"/>
  <c r="C807" i="5" a="1"/>
  <c r="C807" i="5"/>
  <c r="C808" i="5" a="1"/>
  <c r="C808" i="5"/>
  <c r="C809" i="5" a="1"/>
  <c r="C809" i="5"/>
  <c r="C810" i="5" a="1"/>
  <c r="C810" i="5"/>
  <c r="C811" i="5" a="1"/>
  <c r="C811" i="5"/>
  <c r="C812" i="5" a="1"/>
  <c r="C812" i="5"/>
  <c r="C813" i="5" a="1"/>
  <c r="C813" i="5"/>
  <c r="C814" i="5" a="1"/>
  <c r="C814" i="5"/>
  <c r="C815" i="5" a="1"/>
  <c r="C815" i="5"/>
  <c r="C816" i="5" a="1"/>
  <c r="C816" i="5"/>
  <c r="C817" i="5" a="1"/>
  <c r="C817" i="5"/>
  <c r="C818" i="5" a="1"/>
  <c r="C818" i="5"/>
  <c r="C819" i="5" a="1"/>
  <c r="C819" i="5"/>
  <c r="C289" i="5" a="1"/>
  <c r="C289" i="5"/>
  <c r="C290" i="5" a="1"/>
  <c r="C290" i="5"/>
  <c r="C291" i="5" a="1"/>
  <c r="C291" i="5"/>
  <c r="C292" i="5" a="1"/>
  <c r="C292" i="5"/>
  <c r="C293" i="5" a="1"/>
  <c r="C293" i="5"/>
  <c r="C294" i="5" a="1"/>
  <c r="C294" i="5"/>
  <c r="C295" i="5" a="1"/>
  <c r="C295" i="5"/>
  <c r="C296" i="5" a="1"/>
  <c r="C296" i="5"/>
  <c r="C297" i="5" a="1"/>
  <c r="C297" i="5"/>
  <c r="C298" i="5" a="1"/>
  <c r="C298" i="5"/>
  <c r="C299" i="5" a="1"/>
  <c r="C299" i="5"/>
  <c r="C300" i="5" a="1"/>
  <c r="C300" i="5"/>
  <c r="C301" i="5" a="1"/>
  <c r="C301" i="5"/>
  <c r="C302" i="5" a="1"/>
  <c r="C302" i="5"/>
  <c r="C303" i="5" a="1"/>
  <c r="C303" i="5"/>
  <c r="C304" i="5" a="1"/>
  <c r="C304" i="5"/>
  <c r="C305" i="5" a="1"/>
  <c r="C305" i="5"/>
  <c r="C306" i="5" a="1"/>
  <c r="C306" i="5"/>
  <c r="C307" i="5" a="1"/>
  <c r="C307" i="5"/>
  <c r="C308" i="5" a="1"/>
  <c r="C308" i="5"/>
  <c r="C309" i="5" a="1"/>
  <c r="C309" i="5"/>
  <c r="C310" i="5" a="1"/>
  <c r="C310" i="5"/>
  <c r="C311" i="5" a="1"/>
  <c r="C311" i="5"/>
  <c r="C312" i="5" a="1"/>
  <c r="C312" i="5"/>
  <c r="C313" i="5" a="1"/>
  <c r="C313" i="5"/>
  <c r="C314" i="5" a="1"/>
  <c r="C314" i="5"/>
  <c r="C315" i="5" a="1"/>
  <c r="C315" i="5"/>
  <c r="C316" i="5" a="1"/>
  <c r="C316" i="5"/>
  <c r="C317" i="5" a="1"/>
  <c r="C317" i="5"/>
  <c r="C318" i="5" a="1"/>
  <c r="C318" i="5"/>
  <c r="C319" i="5" a="1"/>
  <c r="C319" i="5"/>
  <c r="C320" i="5" a="1"/>
  <c r="C320" i="5"/>
  <c r="C321" i="5" a="1"/>
  <c r="C321" i="5"/>
  <c r="C322" i="5" a="1"/>
  <c r="C322" i="5"/>
  <c r="C323" i="5" a="1"/>
  <c r="C323" i="5"/>
  <c r="C324" i="5" a="1"/>
  <c r="C324" i="5"/>
  <c r="C820" i="5" a="1"/>
  <c r="C820" i="5"/>
  <c r="C821" i="5" a="1"/>
  <c r="C821" i="5"/>
  <c r="C822" i="5" a="1"/>
  <c r="C822" i="5"/>
  <c r="C823" i="5" a="1"/>
  <c r="C823" i="5"/>
  <c r="C824" i="5" a="1"/>
  <c r="C824" i="5"/>
  <c r="C825" i="5" a="1"/>
  <c r="C825" i="5"/>
  <c r="C826" i="5" a="1"/>
  <c r="C826" i="5"/>
  <c r="C827" i="5" a="1"/>
  <c r="C827" i="5"/>
  <c r="C828" i="5" a="1"/>
  <c r="C828" i="5"/>
  <c r="C829" i="5" a="1"/>
  <c r="C829" i="5"/>
  <c r="C830" i="5" a="1"/>
  <c r="C830" i="5"/>
  <c r="C831" i="5" a="1"/>
  <c r="C831" i="5"/>
  <c r="C832" i="5" a="1"/>
  <c r="C832" i="5"/>
  <c r="C833" i="5" a="1"/>
  <c r="C833" i="5"/>
  <c r="C834" i="5" a="1"/>
  <c r="C834" i="5"/>
  <c r="C835" i="5" a="1"/>
  <c r="C835" i="5"/>
  <c r="C836" i="5" a="1"/>
  <c r="C836" i="5"/>
  <c r="C837" i="5" a="1"/>
  <c r="C837" i="5"/>
  <c r="C838" i="5" a="1"/>
  <c r="C838" i="5"/>
  <c r="C839" i="5" a="1"/>
  <c r="C839" i="5"/>
  <c r="C840" i="5" a="1"/>
  <c r="C840" i="5"/>
  <c r="C841" i="5" a="1"/>
  <c r="C841" i="5"/>
  <c r="C842" i="5" a="1"/>
  <c r="C842" i="5"/>
  <c r="C843" i="5" a="1"/>
  <c r="C843" i="5"/>
  <c r="C844" i="5" a="1"/>
  <c r="C844" i="5"/>
  <c r="C845" i="5" a="1"/>
  <c r="C845" i="5"/>
  <c r="C846" i="5" a="1"/>
  <c r="C846" i="5"/>
  <c r="C847" i="5" a="1"/>
  <c r="C847" i="5"/>
  <c r="C848" i="5" a="1"/>
  <c r="C848" i="5"/>
  <c r="C849" i="5" a="1"/>
  <c r="C849" i="5"/>
  <c r="C850" i="5" a="1"/>
  <c r="C850" i="5"/>
  <c r="C325" i="5" a="1"/>
  <c r="C325" i="5"/>
  <c r="C326" i="5" a="1"/>
  <c r="C326" i="5"/>
  <c r="C327" i="5" a="1"/>
  <c r="C327" i="5"/>
  <c r="C328" i="5" a="1"/>
  <c r="C328" i="5"/>
  <c r="C329" i="5" a="1"/>
  <c r="C329" i="5"/>
  <c r="C330" i="5" a="1"/>
  <c r="C330" i="5"/>
  <c r="C331" i="5" a="1"/>
  <c r="C331" i="5"/>
  <c r="C332" i="5" a="1"/>
  <c r="C332" i="5"/>
  <c r="C333" i="5" a="1"/>
  <c r="C333" i="5"/>
  <c r="C334" i="5" a="1"/>
  <c r="C334" i="5"/>
  <c r="C335" i="5" a="1"/>
  <c r="C335" i="5"/>
  <c r="C336" i="5" a="1"/>
  <c r="C336" i="5"/>
  <c r="C337" i="5" a="1"/>
  <c r="C337" i="5"/>
  <c r="C338" i="5" a="1"/>
  <c r="C338" i="5"/>
  <c r="C339" i="5" a="1"/>
  <c r="C339" i="5"/>
  <c r="C340" i="5" a="1"/>
  <c r="C340" i="5"/>
  <c r="C341" i="5" a="1"/>
  <c r="C341" i="5"/>
  <c r="C342" i="5" a="1"/>
  <c r="C342" i="5"/>
  <c r="C343" i="5" a="1"/>
  <c r="C343" i="5"/>
  <c r="C344" i="5" a="1"/>
  <c r="C344" i="5"/>
  <c r="C345" i="5" a="1"/>
  <c r="C345" i="5"/>
  <c r="C346" i="5" a="1"/>
  <c r="C346" i="5"/>
  <c r="C347" i="5" a="1"/>
  <c r="C347" i="5"/>
  <c r="C348" i="5" a="1"/>
  <c r="C348" i="5"/>
  <c r="C349" i="5" a="1"/>
  <c r="C349" i="5"/>
  <c r="C350" i="5" a="1"/>
  <c r="C350" i="5"/>
  <c r="C351" i="5" a="1"/>
  <c r="C351" i="5"/>
  <c r="C352" i="5" a="1"/>
  <c r="C352" i="5"/>
  <c r="C353" i="5" a="1"/>
  <c r="C353" i="5"/>
  <c r="C354" i="5" a="1"/>
  <c r="C354" i="5"/>
  <c r="C355" i="5" a="1"/>
  <c r="C355" i="5"/>
  <c r="C356" i="5" a="1"/>
  <c r="C356" i="5"/>
  <c r="C357" i="5" a="1"/>
  <c r="C357" i="5"/>
  <c r="C358" i="5" a="1"/>
  <c r="C358" i="5"/>
  <c r="C359" i="5" a="1"/>
  <c r="C359" i="5"/>
  <c r="C360" i="5" a="1"/>
  <c r="C360" i="5"/>
  <c r="C361" i="5" a="1"/>
  <c r="C361" i="5"/>
  <c r="C362" i="5" a="1"/>
  <c r="C362" i="5"/>
  <c r="C363" i="5" a="1"/>
  <c r="C363" i="5"/>
  <c r="C364" i="5" a="1"/>
  <c r="C364" i="5"/>
  <c r="C365" i="5" a="1"/>
  <c r="C365" i="5"/>
  <c r="C366" i="5" a="1"/>
  <c r="C366" i="5"/>
  <c r="C851" i="5" a="1"/>
  <c r="C851" i="5"/>
  <c r="C852" i="5" a="1"/>
  <c r="C852" i="5"/>
  <c r="C853" i="5" a="1"/>
  <c r="C853" i="5"/>
  <c r="C854" i="5" a="1"/>
  <c r="C854" i="5"/>
  <c r="C855" i="5" a="1"/>
  <c r="C855" i="5"/>
  <c r="C856" i="5" a="1"/>
  <c r="C856" i="5"/>
  <c r="C857" i="5" a="1"/>
  <c r="C857" i="5"/>
  <c r="C858" i="5" a="1"/>
  <c r="C858" i="5"/>
  <c r="C859" i="5" a="1"/>
  <c r="C859" i="5"/>
  <c r="C860" i="5" a="1"/>
  <c r="C860" i="5"/>
  <c r="C861" i="5" a="1"/>
  <c r="C861" i="5"/>
  <c r="C862" i="5" a="1"/>
  <c r="C862" i="5"/>
  <c r="C863" i="5" a="1"/>
  <c r="C863" i="5"/>
  <c r="C864" i="5" a="1"/>
  <c r="C864" i="5"/>
  <c r="C865" i="5" a="1"/>
  <c r="C865" i="5"/>
  <c r="C866" i="5" a="1"/>
  <c r="C866" i="5"/>
  <c r="C867" i="5" a="1"/>
  <c r="C867" i="5"/>
  <c r="C868" i="5" a="1"/>
  <c r="C868" i="5"/>
  <c r="C869" i="5" a="1"/>
  <c r="C869" i="5"/>
  <c r="C870" i="5" a="1"/>
  <c r="C870" i="5"/>
  <c r="C367" i="5" a="1"/>
  <c r="C367" i="5"/>
  <c r="C368" i="5" a="1"/>
  <c r="C368" i="5"/>
  <c r="C369" i="5" a="1"/>
  <c r="C369" i="5"/>
  <c r="C370" i="5" a="1"/>
  <c r="C370" i="5"/>
  <c r="C371" i="5" a="1"/>
  <c r="C371" i="5"/>
  <c r="C372" i="5" a="1"/>
  <c r="C372" i="5"/>
  <c r="C373" i="5" a="1"/>
  <c r="C373" i="5"/>
  <c r="C374" i="5" a="1"/>
  <c r="C374" i="5"/>
  <c r="C375" i="5" a="1"/>
  <c r="C375" i="5"/>
  <c r="C376" i="5" a="1"/>
  <c r="C376" i="5"/>
  <c r="C377" i="5" a="1"/>
  <c r="C377" i="5"/>
  <c r="C378" i="5" a="1"/>
  <c r="C378" i="5"/>
  <c r="C379" i="5" a="1"/>
  <c r="C379" i="5"/>
  <c r="C380" i="5" a="1"/>
  <c r="C380" i="5"/>
  <c r="C381" i="5" a="1"/>
  <c r="C381" i="5"/>
  <c r="C382" i="5" a="1"/>
  <c r="C382" i="5"/>
  <c r="C383" i="5" a="1"/>
  <c r="C383" i="5"/>
  <c r="C384" i="5" a="1"/>
  <c r="C384" i="5"/>
  <c r="C385" i="5" a="1"/>
  <c r="C385" i="5"/>
  <c r="C386" i="5" a="1"/>
  <c r="C386" i="5"/>
  <c r="C387" i="5" a="1"/>
  <c r="C387" i="5"/>
  <c r="C388" i="5" a="1"/>
  <c r="C388" i="5"/>
  <c r="C389" i="5" a="1"/>
  <c r="C389" i="5"/>
  <c r="C390" i="5" a="1"/>
  <c r="C390" i="5"/>
  <c r="C391" i="5" a="1"/>
  <c r="C391" i="5"/>
  <c r="C392" i="5" a="1"/>
  <c r="C392" i="5"/>
  <c r="C393" i="5" a="1"/>
  <c r="C393" i="5"/>
  <c r="C394" i="5" a="1"/>
  <c r="C394" i="5"/>
  <c r="C395" i="5" a="1"/>
  <c r="C395" i="5"/>
  <c r="C396" i="5" a="1"/>
  <c r="C396" i="5"/>
  <c r="C397" i="5" a="1"/>
  <c r="C397" i="5"/>
  <c r="C398" i="5" a="1"/>
  <c r="C398" i="5"/>
  <c r="C399" i="5" a="1"/>
  <c r="C399" i="5"/>
  <c r="C400" i="5" a="1"/>
  <c r="C400" i="5"/>
  <c r="C401" i="5" a="1"/>
  <c r="C401" i="5"/>
  <c r="C402" i="5" a="1"/>
  <c r="C402" i="5"/>
  <c r="C403" i="5" a="1"/>
  <c r="C403" i="5"/>
  <c r="C404" i="5" a="1"/>
  <c r="C404" i="5"/>
  <c r="C405" i="5" a="1"/>
  <c r="C405" i="5"/>
  <c r="C871" i="5" a="1"/>
  <c r="C871" i="5"/>
  <c r="C872" i="5" a="1"/>
  <c r="C872" i="5"/>
  <c r="C873" i="5" a="1"/>
  <c r="C873" i="5"/>
  <c r="C874" i="5" a="1"/>
  <c r="C874" i="5"/>
  <c r="C875" i="5" a="1"/>
  <c r="C875" i="5"/>
  <c r="C876" i="5" a="1"/>
  <c r="C876" i="5"/>
  <c r="C877" i="5" a="1"/>
  <c r="C877" i="5"/>
  <c r="C878" i="5" a="1"/>
  <c r="C878" i="5"/>
  <c r="C879" i="5" a="1"/>
  <c r="C879" i="5"/>
  <c r="C880" i="5" a="1"/>
  <c r="C880" i="5"/>
  <c r="C881" i="5" a="1"/>
  <c r="C881" i="5"/>
  <c r="C882" i="5" a="1"/>
  <c r="C882" i="5"/>
  <c r="C883" i="5" a="1"/>
  <c r="C883" i="5"/>
  <c r="C884" i="5" a="1"/>
  <c r="C884" i="5"/>
  <c r="C885" i="5" a="1"/>
  <c r="C885" i="5"/>
  <c r="C886" i="5" a="1"/>
  <c r="C886" i="5"/>
  <c r="C887" i="5" a="1"/>
  <c r="C887" i="5"/>
  <c r="C406" i="5" a="1"/>
  <c r="C406" i="5"/>
  <c r="C407" i="5" a="1"/>
  <c r="C407" i="5"/>
  <c r="C408" i="5" a="1"/>
  <c r="C408" i="5"/>
  <c r="C409" i="5" a="1"/>
  <c r="C409" i="5"/>
  <c r="C410" i="5" a="1"/>
  <c r="C410" i="5"/>
  <c r="C411" i="5" a="1"/>
  <c r="C411" i="5"/>
  <c r="C412" i="5" a="1"/>
  <c r="C412" i="5"/>
  <c r="C413" i="5" a="1"/>
  <c r="C413" i="5"/>
  <c r="C414" i="5" a="1"/>
  <c r="C414" i="5"/>
  <c r="C415" i="5" a="1"/>
  <c r="C415" i="5"/>
  <c r="C416" i="5" a="1"/>
  <c r="C416" i="5"/>
  <c r="C417" i="5" a="1"/>
  <c r="C417" i="5"/>
  <c r="C418" i="5" a="1"/>
  <c r="C418" i="5"/>
  <c r="C419" i="5" a="1"/>
  <c r="C419" i="5"/>
  <c r="C420" i="5" a="1"/>
  <c r="C420" i="5"/>
  <c r="C421" i="5" a="1"/>
  <c r="C421" i="5"/>
  <c r="C422" i="5" a="1"/>
  <c r="C422" i="5"/>
  <c r="C423" i="5" a="1"/>
  <c r="C423" i="5"/>
  <c r="C424" i="5" a="1"/>
  <c r="C424" i="5"/>
  <c r="C425" i="5" a="1"/>
  <c r="C425" i="5"/>
  <c r="C426" i="5" a="1"/>
  <c r="C426" i="5"/>
  <c r="C427" i="5" a="1"/>
  <c r="C427" i="5"/>
  <c r="C428" i="5" a="1"/>
  <c r="C428" i="5"/>
  <c r="C429" i="5" a="1"/>
  <c r="C429" i="5"/>
  <c r="C430" i="5" a="1"/>
  <c r="C430" i="5"/>
  <c r="C431" i="5" a="1"/>
  <c r="C431" i="5"/>
  <c r="C432" i="5" a="1"/>
  <c r="C432" i="5"/>
  <c r="C433" i="5" a="1"/>
  <c r="C433" i="5"/>
  <c r="C434" i="5" a="1"/>
  <c r="C434" i="5"/>
  <c r="C435" i="5" a="1"/>
  <c r="C435" i="5"/>
  <c r="C436" i="5" a="1"/>
  <c r="C436" i="5"/>
  <c r="C437" i="5" a="1"/>
  <c r="C437" i="5"/>
  <c r="C438" i="5" a="1"/>
  <c r="C438" i="5"/>
  <c r="C439" i="5" a="1"/>
  <c r="C439" i="5"/>
  <c r="C440" i="5" a="1"/>
  <c r="C440" i="5"/>
  <c r="C441" i="5" a="1"/>
  <c r="C441" i="5"/>
  <c r="C442" i="5" a="1"/>
  <c r="C442" i="5"/>
  <c r="C888" i="5" a="1"/>
  <c r="C888" i="5"/>
  <c r="C889" i="5" a="1"/>
  <c r="C889" i="5"/>
  <c r="C890" i="5" a="1"/>
  <c r="C890" i="5"/>
  <c r="C891" i="5" a="1"/>
  <c r="C891" i="5"/>
  <c r="C892" i="5" a="1"/>
  <c r="C892" i="5"/>
  <c r="C893" i="5" a="1"/>
  <c r="C893" i="5"/>
  <c r="C894" i="5" a="1"/>
  <c r="C894" i="5"/>
  <c r="C895" i="5" a="1"/>
  <c r="C895" i="5"/>
  <c r="C896" i="5" a="1"/>
  <c r="C896" i="5"/>
  <c r="C897" i="5" a="1"/>
  <c r="C897" i="5"/>
  <c r="C898" i="5" a="1"/>
  <c r="C898" i="5"/>
  <c r="C899" i="5" a="1"/>
  <c r="C899" i="5"/>
  <c r="C900" i="5" a="1"/>
  <c r="C900" i="5"/>
  <c r="C901" i="5" a="1"/>
  <c r="C901" i="5"/>
  <c r="C902" i="5" a="1"/>
  <c r="C902" i="5"/>
  <c r="C903" i="5" a="1"/>
  <c r="C903" i="5"/>
  <c r="C904" i="5" a="1"/>
  <c r="C904" i="5"/>
  <c r="C905" i="5" a="1"/>
  <c r="C905" i="5"/>
  <c r="C906" i="5" a="1"/>
  <c r="C906" i="5"/>
  <c r="C907" i="5" a="1"/>
  <c r="C907" i="5"/>
  <c r="C443" i="5" a="1"/>
  <c r="C443" i="5"/>
  <c r="C444" i="5" a="1"/>
  <c r="C444" i="5"/>
  <c r="C445" i="5" a="1"/>
  <c r="C445" i="5"/>
  <c r="C446" i="5" a="1"/>
  <c r="C446" i="5"/>
  <c r="C447" i="5" a="1"/>
  <c r="C447" i="5"/>
  <c r="C448" i="5" a="1"/>
  <c r="C448" i="5"/>
  <c r="C449" i="5" a="1"/>
  <c r="C449" i="5"/>
  <c r="C450" i="5" a="1"/>
  <c r="C450" i="5"/>
  <c r="C451" i="5" a="1"/>
  <c r="C451" i="5"/>
  <c r="C452" i="5" a="1"/>
  <c r="C452" i="5"/>
  <c r="C453" i="5" a="1"/>
  <c r="C453" i="5"/>
  <c r="C454" i="5" a="1"/>
  <c r="C454" i="5"/>
  <c r="C455" i="5" a="1"/>
  <c r="C455" i="5"/>
  <c r="C456" i="5" a="1"/>
  <c r="C456" i="5"/>
  <c r="C457" i="5" a="1"/>
  <c r="C457" i="5"/>
  <c r="C458" i="5" a="1"/>
  <c r="C458" i="5"/>
  <c r="C459" i="5" a="1"/>
  <c r="C459" i="5"/>
  <c r="C460" i="5" a="1"/>
  <c r="C460" i="5"/>
  <c r="C461" i="5" a="1"/>
  <c r="C461" i="5"/>
  <c r="C462" i="5" a="1"/>
  <c r="C462" i="5"/>
  <c r="C463" i="5" a="1"/>
  <c r="C463" i="5"/>
  <c r="C464" i="5" a="1"/>
  <c r="C464" i="5"/>
  <c r="C465" i="5" a="1"/>
  <c r="C465" i="5"/>
  <c r="C466" i="5" a="1"/>
  <c r="C466" i="5"/>
  <c r="C467" i="5" a="1"/>
  <c r="C467" i="5"/>
  <c r="C468" i="5" a="1"/>
  <c r="C468" i="5"/>
  <c r="C469" i="5" a="1"/>
  <c r="C469" i="5"/>
  <c r="C470" i="5" a="1"/>
  <c r="C470" i="5"/>
  <c r="C471" i="5" a="1"/>
  <c r="C471" i="5"/>
  <c r="C472" i="5" a="1"/>
  <c r="C472" i="5"/>
  <c r="C473" i="5" a="1"/>
  <c r="C473" i="5"/>
  <c r="C474" i="5" a="1"/>
  <c r="C474" i="5"/>
  <c r="C475" i="5" a="1"/>
  <c r="C475" i="5"/>
  <c r="C476" i="5" a="1"/>
  <c r="C476" i="5"/>
  <c r="C477" i="5" a="1"/>
  <c r="C477" i="5"/>
  <c r="C478" i="5" a="1"/>
  <c r="C478" i="5"/>
  <c r="C479" i="5" a="1"/>
  <c r="C479" i="5"/>
  <c r="C480" i="5" a="1"/>
  <c r="C480" i="5"/>
  <c r="C481" i="5" a="1"/>
  <c r="C481" i="5"/>
  <c r="C482" i="5" a="1"/>
  <c r="C482" i="5"/>
  <c r="C908" i="5" a="1"/>
  <c r="C908" i="5"/>
  <c r="C909" i="5" a="1"/>
  <c r="C909" i="5"/>
  <c r="C910" i="5" a="1"/>
  <c r="C910" i="5"/>
  <c r="C911" i="5" a="1"/>
  <c r="C911" i="5"/>
  <c r="C912" i="5" a="1"/>
  <c r="C912" i="5"/>
  <c r="C913" i="5" a="1"/>
  <c r="C913" i="5"/>
  <c r="C914" i="5" a="1"/>
  <c r="C914" i="5"/>
  <c r="C915" i="5" a="1"/>
  <c r="C915" i="5"/>
  <c r="C916" i="5" a="1"/>
  <c r="C916" i="5"/>
  <c r="C917" i="5" a="1"/>
  <c r="C917" i="5"/>
  <c r="C918" i="5" a="1"/>
  <c r="C918" i="5"/>
  <c r="C919" i="5" a="1"/>
  <c r="C919" i="5"/>
  <c r="C920" i="5" a="1"/>
  <c r="C920" i="5"/>
  <c r="C921" i="5" a="1"/>
  <c r="C921" i="5"/>
  <c r="C922" i="5" a="1"/>
  <c r="C922" i="5"/>
  <c r="C483" i="5" a="1"/>
  <c r="C483" i="5"/>
  <c r="C484" i="5" a="1"/>
  <c r="C484" i="5"/>
  <c r="C485" i="5" a="1"/>
  <c r="C485" i="5"/>
  <c r="C486" i="5" a="1"/>
  <c r="C486" i="5"/>
  <c r="C487" i="5" a="1"/>
  <c r="C487" i="5"/>
  <c r="C488" i="5" a="1"/>
  <c r="C488" i="5"/>
  <c r="C489" i="5" a="1"/>
  <c r="C489" i="5"/>
  <c r="C490" i="5" a="1"/>
  <c r="C490" i="5"/>
  <c r="C491" i="5" a="1"/>
  <c r="C491" i="5"/>
  <c r="C492" i="5" a="1"/>
  <c r="C492" i="5"/>
  <c r="C493" i="5" a="1"/>
  <c r="C493" i="5"/>
  <c r="C494" i="5" a="1"/>
  <c r="C494" i="5"/>
  <c r="C495" i="5" a="1"/>
  <c r="C495" i="5"/>
  <c r="C496" i="5" a="1"/>
  <c r="C496" i="5"/>
  <c r="C497" i="5" a="1"/>
  <c r="C497" i="5"/>
  <c r="C498" i="5" a="1"/>
  <c r="C498" i="5"/>
  <c r="C499" i="5" a="1"/>
  <c r="C499" i="5"/>
  <c r="C500" i="5" a="1"/>
  <c r="C500" i="5"/>
  <c r="C501" i="5" a="1"/>
  <c r="C501" i="5"/>
  <c r="C502" i="5" a="1"/>
  <c r="C502" i="5"/>
  <c r="C503" i="5" a="1"/>
  <c r="C503" i="5"/>
  <c r="C504" i="5" a="1"/>
  <c r="C504" i="5"/>
  <c r="C505" i="5" a="1"/>
  <c r="C505" i="5"/>
  <c r="C506" i="5" a="1"/>
  <c r="C506" i="5"/>
  <c r="C507" i="5" a="1"/>
  <c r="C507" i="5"/>
  <c r="C508" i="5" a="1"/>
  <c r="C508" i="5"/>
  <c r="C509" i="5" a="1"/>
  <c r="C509" i="5"/>
  <c r="C510" i="5" a="1"/>
  <c r="C510" i="5"/>
  <c r="C511" i="5" a="1"/>
  <c r="C511" i="5"/>
  <c r="C512" i="5" a="1"/>
  <c r="C512" i="5"/>
  <c r="C513" i="5" a="1"/>
  <c r="C513" i="5"/>
  <c r="C514" i="5" a="1"/>
  <c r="C514" i="5"/>
  <c r="C515" i="5" a="1"/>
  <c r="C515" i="5"/>
  <c r="C516" i="5" a="1"/>
  <c r="C516" i="5"/>
  <c r="C517" i="5" a="1"/>
  <c r="C517" i="5"/>
  <c r="C518" i="5" a="1"/>
  <c r="C518" i="5"/>
  <c r="C519" i="5" a="1"/>
  <c r="C519" i="5"/>
  <c r="C520" i="5" a="1"/>
  <c r="C520" i="5"/>
  <c r="C521" i="5" a="1"/>
  <c r="C521" i="5"/>
  <c r="C522" i="5" a="1"/>
  <c r="C522" i="5"/>
  <c r="C523" i="5" a="1"/>
  <c r="C523" i="5"/>
  <c r="C524" i="5" a="1"/>
  <c r="C524" i="5"/>
  <c r="C525" i="5" a="1"/>
  <c r="C525" i="5"/>
  <c r="C923" i="5" a="1"/>
  <c r="C923" i="5"/>
  <c r="C924" i="5" a="1"/>
  <c r="C924" i="5"/>
  <c r="C925" i="5" a="1"/>
  <c r="C925" i="5"/>
  <c r="C926" i="5" a="1"/>
  <c r="C926" i="5"/>
  <c r="C927" i="5" a="1"/>
  <c r="C927" i="5"/>
  <c r="C928" i="5" a="1"/>
  <c r="C928" i="5"/>
  <c r="C929" i="5" a="1"/>
  <c r="C929" i="5"/>
  <c r="C930" i="5" a="1"/>
  <c r="C930" i="5"/>
  <c r="C931" i="5" a="1"/>
  <c r="C931" i="5"/>
  <c r="C932" i="5" a="1"/>
  <c r="C932" i="5"/>
  <c r="C933" i="5" a="1"/>
  <c r="C933" i="5"/>
  <c r="C934" i="5" a="1"/>
  <c r="C934" i="5"/>
  <c r="C935" i="5" a="1"/>
  <c r="C935" i="5"/>
  <c r="C936" i="5" a="1"/>
  <c r="C936" i="5"/>
  <c r="C937" i="5" a="1"/>
  <c r="C937" i="5"/>
  <c r="C938" i="5" a="1"/>
  <c r="C938" i="5"/>
  <c r="C939" i="5" a="1"/>
  <c r="C939" i="5"/>
  <c r="C940" i="5" a="1"/>
  <c r="C940" i="5"/>
  <c r="C941" i="5" a="1"/>
  <c r="C941" i="5"/>
  <c r="C526" i="5" a="1"/>
  <c r="C526" i="5"/>
  <c r="C527" i="5" a="1"/>
  <c r="C527" i="5"/>
  <c r="C528" i="5" a="1"/>
  <c r="C528" i="5"/>
  <c r="C529" i="5" a="1"/>
  <c r="C529" i="5"/>
  <c r="C530" i="5" a="1"/>
  <c r="C530" i="5"/>
  <c r="C531" i="5" a="1"/>
  <c r="C531" i="5"/>
  <c r="C532" i="5" a="1"/>
  <c r="C532" i="5"/>
  <c r="C533" i="5" a="1"/>
  <c r="C533" i="5"/>
  <c r="C534" i="5" a="1"/>
  <c r="C534" i="5"/>
  <c r="C535" i="5" a="1"/>
  <c r="C535" i="5"/>
  <c r="C536" i="5" a="1"/>
  <c r="C536" i="5"/>
  <c r="C537" i="5" a="1"/>
  <c r="C537" i="5"/>
  <c r="C538" i="5" a="1"/>
  <c r="C538" i="5"/>
  <c r="C539" i="5" a="1"/>
  <c r="C539" i="5"/>
  <c r="C540" i="5" a="1"/>
  <c r="C540" i="5"/>
  <c r="C541" i="5" a="1"/>
  <c r="C541" i="5"/>
  <c r="C542" i="5" a="1"/>
  <c r="C542" i="5"/>
  <c r="C543" i="5" a="1"/>
  <c r="C543" i="5"/>
  <c r="C544" i="5" a="1"/>
  <c r="C544" i="5"/>
  <c r="C545" i="5" a="1"/>
  <c r="C545" i="5"/>
  <c r="C546" i="5" a="1"/>
  <c r="C546" i="5"/>
  <c r="C547" i="5" a="1"/>
  <c r="C547" i="5"/>
  <c r="C548" i="5" a="1"/>
  <c r="C548" i="5"/>
  <c r="C549" i="5" a="1"/>
  <c r="C549" i="5"/>
  <c r="C550" i="5" a="1"/>
  <c r="C550" i="5"/>
  <c r="C551" i="5" a="1"/>
  <c r="C551" i="5"/>
  <c r="C552" i="5" a="1"/>
  <c r="C552" i="5"/>
  <c r="C553" i="5" a="1"/>
  <c r="C553" i="5"/>
  <c r="C554" i="5" a="1"/>
  <c r="C554" i="5"/>
  <c r="C555" i="5" a="1"/>
  <c r="C555" i="5"/>
  <c r="C556" i="5" a="1"/>
  <c r="C556" i="5"/>
  <c r="C557" i="5" a="1"/>
  <c r="C557" i="5"/>
  <c r="C558" i="5" a="1"/>
  <c r="C558" i="5"/>
  <c r="C559" i="5" a="1"/>
  <c r="C559" i="5"/>
  <c r="C560" i="5" a="1"/>
  <c r="C560" i="5"/>
  <c r="C942" i="5" a="1"/>
  <c r="C942" i="5"/>
  <c r="C943" i="5" a="1"/>
  <c r="C943" i="5"/>
  <c r="C944" i="5" a="1"/>
  <c r="C944" i="5"/>
  <c r="C945" i="5" a="1"/>
  <c r="C945" i="5"/>
  <c r="C946" i="5" a="1"/>
  <c r="C946" i="5"/>
  <c r="C947" i="5" a="1"/>
  <c r="C947" i="5"/>
  <c r="C948" i="5" a="1"/>
  <c r="C948" i="5"/>
  <c r="C949" i="5" a="1"/>
  <c r="C949" i="5"/>
  <c r="C950" i="5" a="1"/>
  <c r="C950" i="5"/>
  <c r="C951" i="5" a="1"/>
  <c r="C951" i="5"/>
  <c r="C952" i="5" a="1"/>
  <c r="C952" i="5"/>
  <c r="C953" i="5" a="1"/>
  <c r="C953" i="5"/>
  <c r="C954" i="5" a="1"/>
  <c r="C954" i="5"/>
  <c r="C955" i="5" a="1"/>
  <c r="C955" i="5"/>
  <c r="C956" i="5" a="1"/>
  <c r="C956" i="5"/>
  <c r="C957" i="5" a="1"/>
  <c r="C957" i="5"/>
  <c r="C561" i="5" a="1"/>
  <c r="C561" i="5"/>
  <c r="C562" i="5" a="1"/>
  <c r="C562" i="5"/>
  <c r="C563" i="5" a="1"/>
  <c r="C563" i="5"/>
  <c r="C564" i="5" a="1"/>
  <c r="C564" i="5"/>
  <c r="C565" i="5" a="1"/>
  <c r="C565" i="5"/>
  <c r="C566" i="5" a="1"/>
  <c r="C566" i="5"/>
  <c r="C567" i="5" a="1"/>
  <c r="C567" i="5"/>
  <c r="C568" i="5" a="1"/>
  <c r="C568" i="5"/>
  <c r="C569" i="5" a="1"/>
  <c r="C569" i="5"/>
  <c r="C570" i="5" a="1"/>
  <c r="C570" i="5"/>
  <c r="C571" i="5" a="1"/>
  <c r="C571" i="5"/>
  <c r="C572" i="5" a="1"/>
  <c r="C572" i="5"/>
  <c r="C573" i="5" a="1"/>
  <c r="C573" i="5"/>
  <c r="C574" i="5" a="1"/>
  <c r="C574" i="5"/>
  <c r="C575" i="5" a="1"/>
  <c r="C575" i="5"/>
  <c r="C576" i="5" a="1"/>
  <c r="C576" i="5"/>
  <c r="C577" i="5" a="1"/>
  <c r="C577" i="5"/>
  <c r="C578" i="5" a="1"/>
  <c r="C578" i="5"/>
  <c r="C579" i="5" a="1"/>
  <c r="C579" i="5"/>
  <c r="C580" i="5" a="1"/>
  <c r="C580" i="5"/>
  <c r="C581" i="5" a="1"/>
  <c r="C581" i="5"/>
  <c r="C582" i="5" a="1"/>
  <c r="C582" i="5"/>
  <c r="C583" i="5" a="1"/>
  <c r="C583" i="5"/>
  <c r="C584" i="5" a="1"/>
  <c r="C584" i="5"/>
  <c r="C585" i="5" a="1"/>
  <c r="C585" i="5"/>
  <c r="C586" i="5" a="1"/>
  <c r="C586" i="5"/>
  <c r="C587" i="5" a="1"/>
  <c r="C587" i="5"/>
  <c r="C588" i="5" a="1"/>
  <c r="C588" i="5"/>
  <c r="C589" i="5" a="1"/>
  <c r="C589" i="5"/>
  <c r="C590" i="5" a="1"/>
  <c r="C590" i="5"/>
  <c r="C591" i="5" a="1"/>
  <c r="C591" i="5"/>
  <c r="C592" i="5" a="1"/>
  <c r="C592" i="5"/>
  <c r="C593" i="5" a="1"/>
  <c r="C593" i="5"/>
  <c r="C594" i="5" a="1"/>
  <c r="C594" i="5"/>
  <c r="C958" i="5" a="1"/>
  <c r="C958" i="5"/>
  <c r="C959" i="5" a="1"/>
  <c r="C959" i="5"/>
  <c r="C960" i="5" a="1"/>
  <c r="C960" i="5"/>
  <c r="C961" i="5" a="1"/>
  <c r="C961" i="5"/>
  <c r="C962" i="5" a="1"/>
  <c r="C962" i="5"/>
  <c r="C963" i="5" a="1"/>
  <c r="C963" i="5"/>
  <c r="C964" i="5" a="1"/>
  <c r="C964" i="5"/>
  <c r="C965" i="5" a="1"/>
  <c r="C965" i="5"/>
  <c r="C966" i="5" a="1"/>
  <c r="C966" i="5"/>
  <c r="C967" i="5" a="1"/>
  <c r="C967" i="5"/>
  <c r="C968" i="5" a="1"/>
  <c r="C968" i="5"/>
  <c r="C969" i="5" a="1"/>
  <c r="C969" i="5"/>
  <c r="C970" i="5" a="1"/>
  <c r="C970" i="5"/>
  <c r="C971" i="5" a="1"/>
  <c r="C971" i="5"/>
  <c r="C972" i="5" a="1"/>
  <c r="C972" i="5"/>
  <c r="C973" i="5" a="1"/>
  <c r="C973" i="5"/>
  <c r="C974" i="5" a="1"/>
  <c r="C974" i="5"/>
  <c r="C975" i="5" a="1"/>
  <c r="C975" i="5"/>
  <c r="C595" i="5" a="1"/>
  <c r="C595" i="5"/>
  <c r="C596" i="5" a="1"/>
  <c r="C596" i="5"/>
  <c r="C597" i="5" a="1"/>
  <c r="C597" i="5"/>
  <c r="C598" i="5" a="1"/>
  <c r="C598" i="5"/>
  <c r="C599" i="5" a="1"/>
  <c r="C599" i="5"/>
  <c r="C600" i="5" a="1"/>
  <c r="C600" i="5"/>
  <c r="C601" i="5" a="1"/>
  <c r="C601" i="5"/>
  <c r="C602" i="5" a="1"/>
  <c r="C602" i="5"/>
  <c r="C603" i="5" a="1"/>
  <c r="C603" i="5"/>
  <c r="C604" i="5" a="1"/>
  <c r="C604" i="5"/>
  <c r="C605" i="5" a="1"/>
  <c r="C605" i="5"/>
  <c r="C606" i="5" a="1"/>
  <c r="C606" i="5"/>
  <c r="C607" i="5" a="1"/>
  <c r="C607" i="5"/>
  <c r="C608" i="5" a="1"/>
  <c r="C608" i="5"/>
  <c r="C609" i="5" a="1"/>
  <c r="C609" i="5"/>
  <c r="C610" i="5" a="1"/>
  <c r="C610" i="5"/>
  <c r="C611" i="5" a="1"/>
  <c r="C611" i="5"/>
  <c r="C612" i="5" a="1"/>
  <c r="C612" i="5"/>
  <c r="C613" i="5" a="1"/>
  <c r="C613" i="5"/>
  <c r="C614" i="5" a="1"/>
  <c r="C614" i="5"/>
  <c r="C615" i="5" a="1"/>
  <c r="C615" i="5"/>
  <c r="C616" i="5" a="1"/>
  <c r="C616" i="5"/>
  <c r="C617" i="5" a="1"/>
  <c r="C617" i="5"/>
  <c r="C618" i="5" a="1"/>
  <c r="C618" i="5"/>
  <c r="C619" i="5" a="1"/>
  <c r="C619" i="5"/>
  <c r="C620" i="5" a="1"/>
  <c r="C620" i="5"/>
  <c r="C621" i="5" a="1"/>
  <c r="C621" i="5"/>
  <c r="C622" i="5" a="1"/>
  <c r="C622" i="5"/>
  <c r="C623" i="5" a="1"/>
  <c r="C623" i="5"/>
  <c r="C624" i="5" a="1"/>
  <c r="C624" i="5"/>
  <c r="C625" i="5" a="1"/>
  <c r="C625" i="5"/>
  <c r="C626" i="5" a="1"/>
  <c r="C626" i="5"/>
  <c r="C627" i="5" a="1"/>
  <c r="C627" i="5"/>
  <c r="C628" i="5" a="1"/>
  <c r="C628" i="5"/>
  <c r="C629" i="5" a="1"/>
  <c r="C629" i="5"/>
  <c r="C630" i="5" a="1"/>
  <c r="C630" i="5"/>
  <c r="C631" i="5" a="1"/>
  <c r="C631" i="5"/>
  <c r="C632" i="5" a="1"/>
  <c r="C632" i="5"/>
  <c r="C633" i="5" a="1"/>
  <c r="C633" i="5"/>
  <c r="C634" i="5" a="1"/>
  <c r="C634" i="5"/>
  <c r="C635" i="5" a="1"/>
  <c r="C635" i="5"/>
  <c r="C636" i="5" a="1"/>
  <c r="C636" i="5"/>
  <c r="C637" i="5" a="1"/>
  <c r="C637" i="5"/>
  <c r="C976" i="5" a="1"/>
  <c r="C976" i="5"/>
  <c r="C977" i="5" a="1"/>
  <c r="C977" i="5"/>
  <c r="C978" i="5" a="1"/>
  <c r="C978" i="5"/>
  <c r="C979" i="5" a="1"/>
  <c r="C979" i="5"/>
  <c r="C980" i="5" a="1"/>
  <c r="C980" i="5"/>
  <c r="C981" i="5" a="1"/>
  <c r="C981" i="5"/>
  <c r="C982" i="5" a="1"/>
  <c r="C982" i="5"/>
  <c r="C983" i="5" a="1"/>
  <c r="C983" i="5"/>
  <c r="C984" i="5" a="1"/>
  <c r="C984" i="5"/>
  <c r="C985" i="5" a="1"/>
  <c r="C985" i="5"/>
  <c r="C986" i="5" a="1"/>
  <c r="C986" i="5"/>
  <c r="C987" i="5" a="1"/>
  <c r="C987" i="5"/>
  <c r="C988" i="5" a="1"/>
  <c r="C988" i="5"/>
  <c r="C989" i="5" a="1"/>
  <c r="C989" i="5"/>
  <c r="C990" i="5" a="1"/>
  <c r="C990" i="5"/>
  <c r="C638" i="5" a="1"/>
  <c r="C638" i="5"/>
  <c r="C639" i="5" a="1"/>
  <c r="C639" i="5"/>
  <c r="C640" i="5" a="1"/>
  <c r="C640" i="5"/>
  <c r="C641" i="5" a="1"/>
  <c r="C641" i="5"/>
  <c r="C642" i="5" a="1"/>
  <c r="C642" i="5"/>
  <c r="C643" i="5" a="1"/>
  <c r="C643" i="5"/>
  <c r="C644" i="5" a="1"/>
  <c r="C644" i="5"/>
  <c r="C645" i="5" a="1"/>
  <c r="C645" i="5"/>
  <c r="C646" i="5" a="1"/>
  <c r="C646" i="5"/>
  <c r="C647" i="5" a="1"/>
  <c r="C647" i="5"/>
  <c r="C648" i="5" a="1"/>
  <c r="C648" i="5"/>
  <c r="C649" i="5" a="1"/>
  <c r="C649" i="5"/>
  <c r="C650" i="5" a="1"/>
  <c r="C650" i="5"/>
  <c r="C651" i="5" a="1"/>
  <c r="C651" i="5"/>
  <c r="C652" i="5" a="1"/>
  <c r="C652" i="5"/>
  <c r="C653" i="5" a="1"/>
  <c r="C653" i="5"/>
  <c r="C654" i="5" a="1"/>
  <c r="C654" i="5"/>
  <c r="C655" i="5" a="1"/>
  <c r="C655" i="5"/>
  <c r="C656" i="5" a="1"/>
  <c r="C656" i="5"/>
  <c r="C657" i="5" a="1"/>
  <c r="C657" i="5"/>
  <c r="C658" i="5" a="1"/>
  <c r="C658" i="5"/>
  <c r="C659" i="5" a="1"/>
  <c r="C659" i="5"/>
  <c r="C660" i="5" a="1"/>
  <c r="C660" i="5"/>
  <c r="C661" i="5" a="1"/>
  <c r="C661" i="5"/>
  <c r="C662" i="5" a="1"/>
  <c r="C662" i="5"/>
  <c r="C663" i="5" a="1"/>
  <c r="C663" i="5"/>
  <c r="C664" i="5" a="1"/>
  <c r="C664" i="5"/>
  <c r="C665" i="5" a="1"/>
  <c r="C665" i="5"/>
  <c r="C666" i="5" a="1"/>
  <c r="C666" i="5"/>
  <c r="C667" i="5" a="1"/>
  <c r="C667" i="5"/>
  <c r="C668" i="5" a="1"/>
  <c r="C668" i="5"/>
  <c r="C669" i="5" a="1"/>
  <c r="C669" i="5"/>
  <c r="C670" i="5" a="1"/>
  <c r="C670" i="5"/>
  <c r="C671" i="5" a="1"/>
  <c r="C671" i="5"/>
  <c r="C672" i="5" a="1"/>
  <c r="C672" i="5"/>
  <c r="C673" i="5" a="1"/>
  <c r="C673" i="5"/>
  <c r="C674" i="5" a="1"/>
  <c r="C674" i="5"/>
  <c r="C675" i="5" a="1"/>
  <c r="C675" i="5"/>
  <c r="C676" i="5" a="1"/>
  <c r="C676" i="5"/>
  <c r="C677" i="5" a="1"/>
  <c r="C677" i="5"/>
  <c r="C678" i="5" a="1"/>
  <c r="C678" i="5"/>
  <c r="C679" i="5" a="1"/>
  <c r="C679" i="5"/>
  <c r="C680" i="5" a="1"/>
  <c r="C680" i="5"/>
  <c r="C681" i="5" a="1"/>
  <c r="C681" i="5"/>
  <c r="C991" i="5" a="1"/>
  <c r="C991" i="5"/>
  <c r="C992" i="5" a="1"/>
  <c r="C992" i="5"/>
  <c r="C993" i="5" a="1"/>
  <c r="C993" i="5"/>
  <c r="C994" i="5" a="1"/>
  <c r="C994" i="5"/>
  <c r="C995" i="5" a="1"/>
  <c r="C995" i="5"/>
  <c r="C996" i="5" a="1"/>
  <c r="C996" i="5"/>
  <c r="C997" i="5" a="1"/>
  <c r="C997" i="5"/>
  <c r="C998" i="5" a="1"/>
  <c r="C998" i="5"/>
  <c r="C999" i="5" a="1"/>
  <c r="C999" i="5"/>
  <c r="C1000" i="5" a="1"/>
  <c r="C1000" i="5"/>
  <c r="C1001" i="5" a="1"/>
  <c r="C1001" i="5"/>
  <c r="C2" i="5" a="1"/>
  <c r="C2" i="5"/>
  <c r="P37" i="1"/>
  <c r="P38" i="1"/>
  <c r="P44" i="1"/>
  <c r="P43" i="1"/>
  <c r="P32" i="1"/>
  <c r="P27" i="1"/>
  <c r="P28" i="1"/>
  <c r="P31" i="1"/>
  <c r="P29" i="1"/>
  <c r="P25" i="1"/>
  <c r="P26" i="1"/>
  <c r="P24" i="1"/>
  <c r="P33" i="1"/>
  <c r="P34" i="1"/>
  <c r="P22" i="1" a="1"/>
  <c r="P22" i="1"/>
  <c r="U12" i="1"/>
  <c r="U13" i="1"/>
  <c r="U14" i="1"/>
  <c r="U15" i="1"/>
  <c r="U16" i="1"/>
  <c r="U17" i="1"/>
  <c r="U11" i="1"/>
  <c r="Q11" i="1" a="1"/>
  <c r="P4" i="5"/>
  <c r="P5" i="5"/>
  <c r="I5" i="5" a="1"/>
  <c r="I5" i="5"/>
  <c r="I19" i="5" a="1"/>
  <c r="I19" i="5"/>
  <c r="I33" i="5" a="1"/>
  <c r="I33" i="5"/>
  <c r="G34" i="5"/>
  <c r="G20" i="5"/>
  <c r="K20" i="5"/>
  <c r="G6" i="5"/>
  <c r="P6" i="5"/>
  <c r="P7" i="5"/>
  <c r="P39" i="1"/>
  <c r="P40" i="1"/>
  <c r="P41" i="1"/>
  <c r="P35" i="1"/>
  <c r="P42" i="1"/>
  <c r="P36" i="1"/>
  <c r="P30" i="1"/>
  <c r="Q11" i="1"/>
  <c r="Q18" i="1"/>
  <c r="V11" i="1"/>
  <c r="V17" i="1"/>
  <c r="V16" i="1"/>
  <c r="V15" i="1"/>
  <c r="V14" i="1"/>
  <c r="V13" i="1"/>
  <c r="V12" i="1"/>
  <c r="K6" i="5"/>
  <c r="K15" i="5"/>
  <c r="L5" i="5"/>
  <c r="K34" i="5"/>
  <c r="K43" i="5"/>
  <c r="L33" i="5"/>
  <c r="K29" i="5"/>
  <c r="L19" i="5"/>
  <c r="I15" i="5"/>
  <c r="J5" i="5"/>
  <c r="V18" i="1"/>
  <c r="W11" i="1"/>
  <c r="W12" i="1"/>
  <c r="W13" i="1"/>
  <c r="W14" i="1"/>
  <c r="W15" i="1"/>
  <c r="W16" i="1"/>
  <c r="W17" i="1"/>
  <c r="S12" i="1"/>
  <c r="S13" i="1"/>
  <c r="S14" i="1"/>
  <c r="S15" i="1"/>
  <c r="S16" i="1"/>
  <c r="S17" i="1"/>
  <c r="R11" i="1"/>
  <c r="R12" i="1"/>
  <c r="R13" i="1"/>
  <c r="R14" i="1"/>
  <c r="R15" i="1"/>
  <c r="R16" i="1"/>
  <c r="R17" i="1"/>
  <c r="S11" i="1"/>
  <c r="T11" i="1"/>
  <c r="L20" i="5"/>
  <c r="G63" i="5"/>
  <c r="L34" i="5"/>
  <c r="G79" i="5"/>
  <c r="J6" i="5"/>
  <c r="F48" i="5"/>
  <c r="F47" i="5"/>
  <c r="L6" i="5"/>
  <c r="G47" i="5"/>
  <c r="H47" i="5"/>
  <c r="I43" i="5"/>
  <c r="J33" i="5"/>
  <c r="I29" i="5"/>
  <c r="J7" i="5"/>
  <c r="T12" i="1"/>
  <c r="R24" i="1"/>
  <c r="X12" i="1"/>
  <c r="X13" i="1"/>
  <c r="X14" i="1"/>
  <c r="X15" i="1"/>
  <c r="X16" i="1"/>
  <c r="X17" i="1"/>
  <c r="X11" i="1"/>
  <c r="J34" i="5"/>
  <c r="F79" i="5"/>
  <c r="H79" i="5"/>
  <c r="L35" i="5"/>
  <c r="G80" i="5"/>
  <c r="L21" i="5"/>
  <c r="G64" i="5"/>
  <c r="J8" i="5"/>
  <c r="F49" i="5"/>
  <c r="L7" i="5"/>
  <c r="G48" i="5"/>
  <c r="H48" i="5"/>
  <c r="J19" i="5"/>
  <c r="Y11" i="1"/>
  <c r="Y12" i="1"/>
  <c r="S24" i="1"/>
  <c r="T24" i="1"/>
  <c r="T13" i="1"/>
  <c r="R25" i="1"/>
  <c r="J20" i="5"/>
  <c r="F63" i="5"/>
  <c r="H63" i="5"/>
  <c r="L22" i="5"/>
  <c r="G65" i="5"/>
  <c r="L36" i="5"/>
  <c r="G81" i="5"/>
  <c r="J35" i="5"/>
  <c r="F80" i="5"/>
  <c r="H80" i="5"/>
  <c r="L8" i="5"/>
  <c r="G49" i="5"/>
  <c r="H49" i="5"/>
  <c r="J9" i="5"/>
  <c r="F50" i="5"/>
  <c r="T14" i="1"/>
  <c r="R26" i="1"/>
  <c r="Y13" i="1"/>
  <c r="S25" i="1"/>
  <c r="T25" i="1"/>
  <c r="J36" i="5"/>
  <c r="F81" i="5"/>
  <c r="H81" i="5"/>
  <c r="L37" i="5"/>
  <c r="G82" i="5"/>
  <c r="L23" i="5"/>
  <c r="G66" i="5"/>
  <c r="J21" i="5"/>
  <c r="F64" i="5"/>
  <c r="H64" i="5"/>
  <c r="J10" i="5"/>
  <c r="F51" i="5"/>
  <c r="L9" i="5"/>
  <c r="G50" i="5"/>
  <c r="H50" i="5"/>
  <c r="Y14" i="1"/>
  <c r="S26" i="1"/>
  <c r="T26" i="1"/>
  <c r="T15" i="1"/>
  <c r="R27" i="1"/>
  <c r="J22" i="5"/>
  <c r="F65" i="5"/>
  <c r="H65" i="5"/>
  <c r="L24" i="5"/>
  <c r="G67" i="5"/>
  <c r="L38" i="5"/>
  <c r="G83" i="5"/>
  <c r="J37" i="5"/>
  <c r="F82" i="5"/>
  <c r="H82" i="5"/>
  <c r="L10" i="5"/>
  <c r="G51" i="5"/>
  <c r="H51" i="5"/>
  <c r="J11" i="5"/>
  <c r="F52" i="5"/>
  <c r="T16" i="1"/>
  <c r="R28" i="1"/>
  <c r="Y15" i="1"/>
  <c r="S27" i="1"/>
  <c r="T27" i="1"/>
  <c r="J38" i="5"/>
  <c r="F83" i="5"/>
  <c r="H83" i="5"/>
  <c r="L39" i="5"/>
  <c r="G84" i="5"/>
  <c r="L25" i="5"/>
  <c r="G68" i="5"/>
  <c r="J23" i="5"/>
  <c r="F66" i="5"/>
  <c r="H66" i="5"/>
  <c r="J12" i="5"/>
  <c r="F53" i="5"/>
  <c r="L11" i="5"/>
  <c r="G52" i="5"/>
  <c r="H52" i="5"/>
  <c r="Y16" i="1"/>
  <c r="S28" i="1"/>
  <c r="T28" i="1"/>
  <c r="T17" i="1"/>
  <c r="R30" i="1"/>
  <c r="R29" i="1"/>
  <c r="J24" i="5"/>
  <c r="F67" i="5"/>
  <c r="H67" i="5"/>
  <c r="L26" i="5"/>
  <c r="G69" i="5"/>
  <c r="L40" i="5"/>
  <c r="G85" i="5"/>
  <c r="J39" i="5"/>
  <c r="F84" i="5"/>
  <c r="H84" i="5"/>
  <c r="L12" i="5"/>
  <c r="G53" i="5"/>
  <c r="H53" i="5"/>
  <c r="J13" i="5"/>
  <c r="F54" i="5"/>
  <c r="Y17" i="1"/>
  <c r="S30" i="1"/>
  <c r="S29" i="1"/>
  <c r="T29" i="1"/>
  <c r="J40" i="5"/>
  <c r="F85" i="5"/>
  <c r="H85" i="5"/>
  <c r="L41" i="5"/>
  <c r="G86" i="5"/>
  <c r="L27" i="5"/>
  <c r="G70" i="5"/>
  <c r="J25" i="5"/>
  <c r="F68" i="5"/>
  <c r="H68" i="5"/>
  <c r="J14" i="5"/>
  <c r="F56" i="5"/>
  <c r="F55" i="5"/>
  <c r="L13" i="5"/>
  <c r="G54" i="5"/>
  <c r="H54" i="5"/>
  <c r="T30" i="1"/>
  <c r="S33" i="1"/>
  <c r="J26" i="5"/>
  <c r="F69" i="5"/>
  <c r="H69" i="5"/>
  <c r="L28" i="5"/>
  <c r="G72" i="5"/>
  <c r="G71" i="5"/>
  <c r="L42" i="5"/>
  <c r="G88" i="5"/>
  <c r="G87" i="5"/>
  <c r="J41" i="5"/>
  <c r="F86" i="5"/>
  <c r="H86" i="5"/>
  <c r="L14" i="5"/>
  <c r="G56" i="5"/>
  <c r="G55" i="5"/>
  <c r="H55" i="5"/>
  <c r="G58" i="5"/>
  <c r="J42" i="5"/>
  <c r="F88" i="5"/>
  <c r="F87" i="5"/>
  <c r="H87" i="5"/>
  <c r="G90" i="5"/>
  <c r="J27" i="5"/>
  <c r="F70" i="5"/>
  <c r="H70" i="5"/>
  <c r="J28" i="5"/>
  <c r="F72" i="5"/>
  <c r="F71" i="5"/>
  <c r="H71" i="5"/>
  <c r="G7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<sst xmlns="http://schemas.openxmlformats.org/spreadsheetml/2006/main" count="5129" uniqueCount="1083">
  <si>
    <t>brand</t>
  </si>
  <si>
    <t>model</t>
  </si>
  <si>
    <t>price_usd</t>
  </si>
  <si>
    <t>storage_gb</t>
  </si>
  <si>
    <t>camera_mp</t>
  </si>
  <si>
    <t>battery_mah</t>
  </si>
  <si>
    <t>display_size_inch</t>
  </si>
  <si>
    <t>5g_support</t>
  </si>
  <si>
    <t>os</t>
  </si>
  <si>
    <t>rating</t>
  </si>
  <si>
    <t>main dependent variable</t>
  </si>
  <si>
    <t>Realme</t>
  </si>
  <si>
    <t>GT 7 Pro 133</t>
  </si>
  <si>
    <t>No</t>
  </si>
  <si>
    <t>Android</t>
  </si>
  <si>
    <t>qualitative variables</t>
  </si>
  <si>
    <t>Oppo</t>
  </si>
  <si>
    <t>Reno 11 265</t>
  </si>
  <si>
    <t>quantitative variables</t>
  </si>
  <si>
    <t>Xiaomi</t>
  </si>
  <si>
    <t>Mi 14 462</t>
  </si>
  <si>
    <t>Yes</t>
  </si>
  <si>
    <t>Reno 11 399</t>
  </si>
  <si>
    <t>1.freq table + hist</t>
  </si>
  <si>
    <t>Infinix</t>
  </si>
  <si>
    <t>Note 40 Pro 876</t>
  </si>
  <si>
    <t>2. mean, median, mode, std, var, skewness</t>
  </si>
  <si>
    <t>11 Pro+ 927</t>
  </si>
  <si>
    <t>3. quartiles + box plot</t>
  </si>
  <si>
    <t>GT 7 Pro 382</t>
  </si>
  <si>
    <t>4. tukes fences</t>
  </si>
  <si>
    <t>11 Pro+ 376</t>
  </si>
  <si>
    <t xml:space="preserve">5. lorenz curve </t>
  </si>
  <si>
    <t>Vivo</t>
  </si>
  <si>
    <t>X100 Pro 228</t>
  </si>
  <si>
    <t>6. gini index</t>
  </si>
  <si>
    <t>bins</t>
  </si>
  <si>
    <t>price (f)</t>
  </si>
  <si>
    <t>f'</t>
  </si>
  <si>
    <t>g</t>
  </si>
  <si>
    <t>g'</t>
  </si>
  <si>
    <t>m</t>
  </si>
  <si>
    <t>s</t>
  </si>
  <si>
    <t>s'</t>
  </si>
  <si>
    <t>z</t>
  </si>
  <si>
    <t>z'</t>
  </si>
  <si>
    <t>Poco F6 895</t>
  </si>
  <si>
    <t>OnePlus</t>
  </si>
  <si>
    <t>OnePlus 12 388</t>
  </si>
  <si>
    <t>Reno 12 645</t>
  </si>
  <si>
    <t>Reno 12 350</t>
  </si>
  <si>
    <t>Nord 4 68</t>
  </si>
  <si>
    <t>Google</t>
  </si>
  <si>
    <t>Pixel 9 Pro 117</t>
  </si>
  <si>
    <t>Pixel 8 989</t>
  </si>
  <si>
    <t>Pixel 7a 59</t>
  </si>
  <si>
    <t>Total:</t>
  </si>
  <si>
    <t>X100 Pro 415</t>
  </si>
  <si>
    <t>Apple</t>
  </si>
  <si>
    <t>iPhone 15 744</t>
  </si>
  <si>
    <t>iOS</t>
  </si>
  <si>
    <t>V29e 185</t>
  </si>
  <si>
    <t>Measure</t>
  </si>
  <si>
    <t>Value</t>
  </si>
  <si>
    <t>Lorenz Curve</t>
  </si>
  <si>
    <t>OnePlus 12 729</t>
  </si>
  <si>
    <t>Mode</t>
  </si>
  <si>
    <t>Trapezoid Area</t>
  </si>
  <si>
    <t>Y200 242</t>
  </si>
  <si>
    <t>Mi 13 Ultra 677</t>
  </si>
  <si>
    <t>Median</t>
  </si>
  <si>
    <t>Pixel 9 Pro 314</t>
  </si>
  <si>
    <t>Mean</t>
  </si>
  <si>
    <t>Pixel 9 860</t>
  </si>
  <si>
    <t>Minimum</t>
  </si>
  <si>
    <t>OnePlus 13 209</t>
  </si>
  <si>
    <t>F27 Pro 353</t>
  </si>
  <si>
    <t>Hot 40 967</t>
  </si>
  <si>
    <t>Lower Fence</t>
  </si>
  <si>
    <t>&lt;min</t>
  </si>
  <si>
    <t>OnePlus 13 206</t>
  </si>
  <si>
    <t>Upper Fence</t>
  </si>
  <si>
    <t>&gt;max</t>
  </si>
  <si>
    <t>Pixel 8 16</t>
  </si>
  <si>
    <t>iPhone 16 Pro 772</t>
  </si>
  <si>
    <t>A98 793</t>
  </si>
  <si>
    <t>Maximum</t>
  </si>
  <si>
    <t>Gini</t>
  </si>
  <si>
    <t>Pixel 9 Pro 47</t>
  </si>
  <si>
    <t>R</t>
  </si>
  <si>
    <t>HI</t>
  </si>
  <si>
    <t>Samsung</t>
  </si>
  <si>
    <t>Galaxy S24 777</t>
  </si>
  <si>
    <t>HI minimal</t>
  </si>
  <si>
    <t>OnePlus 13R 635</t>
  </si>
  <si>
    <t>OnePlus 13R 126</t>
  </si>
  <si>
    <t>Nord CE 4 Lite 559</t>
  </si>
  <si>
    <t>σ</t>
  </si>
  <si>
    <t>V29e 794</t>
  </si>
  <si>
    <t>V</t>
  </si>
  <si>
    <t>iPhone 16 Pro 89</t>
  </si>
  <si>
    <t>P</t>
  </si>
  <si>
    <t>Redmi Note 14 Pro 380</t>
  </si>
  <si>
    <t>iPhone 16 Pro Max 598</t>
  </si>
  <si>
    <t>Poco F6 806</t>
  </si>
  <si>
    <t>OnePlus 13R 423</t>
  </si>
  <si>
    <t>V29e 743</t>
  </si>
  <si>
    <t>OnePlus 12 326</t>
  </si>
  <si>
    <t>iPhone 16 Pro Max 779</t>
  </si>
  <si>
    <t>Galaxy A75 442</t>
  </si>
  <si>
    <t>Reno 12 410</t>
  </si>
  <si>
    <t>V29e 581</t>
  </si>
  <si>
    <t>A98 681</t>
  </si>
  <si>
    <t>Galaxy A75 466</t>
  </si>
  <si>
    <t>Mi 13 Ultra 587</t>
  </si>
  <si>
    <t>iPhone 16 Pro Max 413</t>
  </si>
  <si>
    <t>OnePlus 12 820</t>
  </si>
  <si>
    <t>iPhone 15 723</t>
  </si>
  <si>
    <t>Mi 13 Ultra 876</t>
  </si>
  <si>
    <t>GT 7 Pro 342</t>
  </si>
  <si>
    <t>Galaxy A75 850</t>
  </si>
  <si>
    <t>Reno 11 777</t>
  </si>
  <si>
    <t>Narzo 70 335</t>
  </si>
  <si>
    <t>Reno 11 997</t>
  </si>
  <si>
    <t>Galaxy S24 567</t>
  </si>
  <si>
    <t>Y100A 116</t>
  </si>
  <si>
    <t>Mi 13 Ultra 366</t>
  </si>
  <si>
    <t>Smart 8 259</t>
  </si>
  <si>
    <t>iPhone 16 Pro 231</t>
  </si>
  <si>
    <t>Note 40 Pro 336</t>
  </si>
  <si>
    <t>OnePlus 12 611</t>
  </si>
  <si>
    <t>iPhone 14 154</t>
  </si>
  <si>
    <t>Find X7 500</t>
  </si>
  <si>
    <t>Pixel Fold 2 474</t>
  </si>
  <si>
    <t>Reno 11 404</t>
  </si>
  <si>
    <t>Pixel 7a 626</t>
  </si>
  <si>
    <t>X100 Pro 537</t>
  </si>
  <si>
    <t>GT 20 Pro 9</t>
  </si>
  <si>
    <t>GT 20 Pro 383</t>
  </si>
  <si>
    <t>Mi 13 Ultra 150</t>
  </si>
  <si>
    <t>Reno 11 674</t>
  </si>
  <si>
    <t>Find X7 240</t>
  </si>
  <si>
    <t>Pixel 9 523</t>
  </si>
  <si>
    <t>Pixel 9 883</t>
  </si>
  <si>
    <t>V30 96</t>
  </si>
  <si>
    <t>GT Neo 6 334</t>
  </si>
  <si>
    <t>F27 Pro 171</t>
  </si>
  <si>
    <t>V30 87</t>
  </si>
  <si>
    <t>V30 731</t>
  </si>
  <si>
    <t>GT Neo 6 992</t>
  </si>
  <si>
    <t>GT 7 Pro 272</t>
  </si>
  <si>
    <t>Galaxy S24 Ultra 469</t>
  </si>
  <si>
    <t>GT Neo 6 598</t>
  </si>
  <si>
    <t>V30 400</t>
  </si>
  <si>
    <t>Find X7 246</t>
  </si>
  <si>
    <t>Pixel 9 Pro 196</t>
  </si>
  <si>
    <t>iPhone 15 620</t>
  </si>
  <si>
    <t>Pixel 7a 545</t>
  </si>
  <si>
    <t>Galaxy A75 854</t>
  </si>
  <si>
    <t>Galaxy Z Fold6 943</t>
  </si>
  <si>
    <t>Poco X6 Pro 676</t>
  </si>
  <si>
    <t>Narzo 70 716</t>
  </si>
  <si>
    <t>Y200 619</t>
  </si>
  <si>
    <t>OnePlus 12 703</t>
  </si>
  <si>
    <t>C65 705</t>
  </si>
  <si>
    <t>Mi 13 Ultra 258</t>
  </si>
  <si>
    <t>Narzo 70 939</t>
  </si>
  <si>
    <t>Galaxy S24 662</t>
  </si>
  <si>
    <t>Poco F6 669</t>
  </si>
  <si>
    <t>F27 Pro 908</t>
  </si>
  <si>
    <t>Redmi Note 14 Pro 631</t>
  </si>
  <si>
    <t>Redmi Note 14 Pro 603</t>
  </si>
  <si>
    <t>Nord CE 4 Lite 241</t>
  </si>
  <si>
    <t>C65 395</t>
  </si>
  <si>
    <t>X100 Pro 206</t>
  </si>
  <si>
    <t>Galaxy S24 421</t>
  </si>
  <si>
    <t>Redmi Note 14 Pro 872</t>
  </si>
  <si>
    <t>Pixel 7a 407</t>
  </si>
  <si>
    <t>Poco X6 Pro 613</t>
  </si>
  <si>
    <t>Nord CE 4 Lite 361</t>
  </si>
  <si>
    <t>Galaxy Z Fold6 549</t>
  </si>
  <si>
    <t>GT 7 Pro 842</t>
  </si>
  <si>
    <t>Poco F6 439</t>
  </si>
  <si>
    <t>Redmi Note 14 Pro 461</t>
  </si>
  <si>
    <t>Reno 12 96</t>
  </si>
  <si>
    <t>iPhone 16 Pro 356</t>
  </si>
  <si>
    <t>Nord CE 4 Lite 268</t>
  </si>
  <si>
    <t>Note 40 Pro 443</t>
  </si>
  <si>
    <t>GT 7 Pro 417</t>
  </si>
  <si>
    <t>iPhone 14 47</t>
  </si>
  <si>
    <t>GT 20 Pro 989</t>
  </si>
  <si>
    <t>Nord 4 438</t>
  </si>
  <si>
    <t>X100 Pro 296</t>
  </si>
  <si>
    <t>iPhone 14 260</t>
  </si>
  <si>
    <t>Poco X6 Pro 400</t>
  </si>
  <si>
    <t>Galaxy M55 841</t>
  </si>
  <si>
    <t>Nord 4 664</t>
  </si>
  <si>
    <t>Galaxy M55 902</t>
  </si>
  <si>
    <t>GT 20 Pro 961</t>
  </si>
  <si>
    <t>Zero 30 97</t>
  </si>
  <si>
    <t>Narzo 70 410</t>
  </si>
  <si>
    <t>X100 Pro 121</t>
  </si>
  <si>
    <t>Reno 12 249</t>
  </si>
  <si>
    <t>Pixel 8 757</t>
  </si>
  <si>
    <t>OnePlus 12 909</t>
  </si>
  <si>
    <t>Narzo 70 580</t>
  </si>
  <si>
    <t>GT 20 Pro 529</t>
  </si>
  <si>
    <t>GT 20 Pro 916</t>
  </si>
  <si>
    <t>C65 668</t>
  </si>
  <si>
    <t>OnePlus 12 505</t>
  </si>
  <si>
    <t>Y200 811</t>
  </si>
  <si>
    <t>Mi 13 Ultra 367</t>
  </si>
  <si>
    <t>OnePlus 12 438</t>
  </si>
  <si>
    <t>OnePlus 13R 806</t>
  </si>
  <si>
    <t>Galaxy A75 416</t>
  </si>
  <si>
    <t>V30 287</t>
  </si>
  <si>
    <t>Nord 4 14</t>
  </si>
  <si>
    <t>GT 7 Pro 668</t>
  </si>
  <si>
    <t>Galaxy S24 216</t>
  </si>
  <si>
    <t>X100 Pro 55</t>
  </si>
  <si>
    <t>Y100A 340</t>
  </si>
  <si>
    <t>Poco F6 487</t>
  </si>
  <si>
    <t>Pixel Fold 2 282</t>
  </si>
  <si>
    <t>Y100A 749</t>
  </si>
  <si>
    <t>Reno 12 808</t>
  </si>
  <si>
    <t>Galaxy Z Fold6 229</t>
  </si>
  <si>
    <t>Pixel Fold 2 264</t>
  </si>
  <si>
    <t>11 Pro+ 320</t>
  </si>
  <si>
    <t>Zero 30 598</t>
  </si>
  <si>
    <t>F27 Pro 331</t>
  </si>
  <si>
    <t>Redmi Note 14 Pro 941</t>
  </si>
  <si>
    <t>OnePlus 12 988</t>
  </si>
  <si>
    <t>OnePlus 13R 705</t>
  </si>
  <si>
    <t>Mi 14 110</t>
  </si>
  <si>
    <t>Galaxy M55 614</t>
  </si>
  <si>
    <t>iPhone 16 Pro Max 927</t>
  </si>
  <si>
    <t>Galaxy A75 15</t>
  </si>
  <si>
    <t>iPhone 14 314</t>
  </si>
  <si>
    <t>iPhone 16 Pro 7</t>
  </si>
  <si>
    <t>OnePlus 13 375</t>
  </si>
  <si>
    <t>Mi 13 Ultra 59</t>
  </si>
  <si>
    <t>GT 7 Pro 710</t>
  </si>
  <si>
    <t>GT 7 Pro 733</t>
  </si>
  <si>
    <t>C65 457</t>
  </si>
  <si>
    <t>V29e 883</t>
  </si>
  <si>
    <t>iPhone 16 Pro 763</t>
  </si>
  <si>
    <t>Galaxy S24 Ultra 657</t>
  </si>
  <si>
    <t>Poco F6 756</t>
  </si>
  <si>
    <t>A98 649</t>
  </si>
  <si>
    <t>Pixel Fold 2 954</t>
  </si>
  <si>
    <t>Galaxy S24 981</t>
  </si>
  <si>
    <t>iPhone 16 945</t>
  </si>
  <si>
    <t>Pixel 9 Pro 649</t>
  </si>
  <si>
    <t>Galaxy A75 154</t>
  </si>
  <si>
    <t>Pixel Fold 2 528</t>
  </si>
  <si>
    <t>Zero 30 763</t>
  </si>
  <si>
    <t>C65 285</t>
  </si>
  <si>
    <t>C65 386</t>
  </si>
  <si>
    <t>Y200 101</t>
  </si>
  <si>
    <t>iPhone 16 Pro Max 615</t>
  </si>
  <si>
    <t>V29e 700</t>
  </si>
  <si>
    <t>Pixel 9 814</t>
  </si>
  <si>
    <t>Galaxy A75 29</t>
  </si>
  <si>
    <t>iPhone 15 293</t>
  </si>
  <si>
    <t>Redmi Note 14 Pro 811</t>
  </si>
  <si>
    <t>Zero 30 458</t>
  </si>
  <si>
    <t>Redmi Note 14 Pro 931</t>
  </si>
  <si>
    <t>Pixel 9 122</t>
  </si>
  <si>
    <t>iPhone 16 Pro Max 409</t>
  </si>
  <si>
    <t>Galaxy Z Fold6 878</t>
  </si>
  <si>
    <t>Reno 12 300</t>
  </si>
  <si>
    <t>V30 843</t>
  </si>
  <si>
    <t>Reno 11 66</t>
  </si>
  <si>
    <t>Galaxy Z Fold6 736</t>
  </si>
  <si>
    <t>X100 Pro 12</t>
  </si>
  <si>
    <t>Galaxy M55 821</t>
  </si>
  <si>
    <t>Pixel 9 21</t>
  </si>
  <si>
    <t>Zero 30 277</t>
  </si>
  <si>
    <t>Y100A 298</t>
  </si>
  <si>
    <t>iPhone 16 982</t>
  </si>
  <si>
    <t>Pixel 9 297</t>
  </si>
  <si>
    <t>GT Neo 6 201</t>
  </si>
  <si>
    <t>V29e 398</t>
  </si>
  <si>
    <t>C65 725</t>
  </si>
  <si>
    <t>Find X7 49</t>
  </si>
  <si>
    <t>X100 Pro 546</t>
  </si>
  <si>
    <t>Find X7 463</t>
  </si>
  <si>
    <t>Zero 30 376</t>
  </si>
  <si>
    <t>V30 209</t>
  </si>
  <si>
    <t>C65 954</t>
  </si>
  <si>
    <t>GT 20 Pro 112</t>
  </si>
  <si>
    <t>Pixel Fold 2 444</t>
  </si>
  <si>
    <t>Galaxy Z Fold6 603</t>
  </si>
  <si>
    <t>11 Pro+ 720</t>
  </si>
  <si>
    <t>V29e 40</t>
  </si>
  <si>
    <t>GT 20 Pro 896</t>
  </si>
  <si>
    <t>Pixel 7a 437</t>
  </si>
  <si>
    <t>Nord CE 4 Lite 296</t>
  </si>
  <si>
    <t>Reno 12 666</t>
  </si>
  <si>
    <t>iPhone 16 Pro Max 497</t>
  </si>
  <si>
    <t>OnePlus 13 675</t>
  </si>
  <si>
    <t>Y200 926</t>
  </si>
  <si>
    <t>11 Pro+ 671</t>
  </si>
  <si>
    <t>Galaxy Z Fold6 168</t>
  </si>
  <si>
    <t>Poco F6 680</t>
  </si>
  <si>
    <t>Nord CE 4 Lite 458</t>
  </si>
  <si>
    <t>iPhone 16 Pro 19</t>
  </si>
  <si>
    <t>Galaxy Z Fold6 135</t>
  </si>
  <si>
    <t>F27 Pro 543</t>
  </si>
  <si>
    <t>Pixel 8 659</t>
  </si>
  <si>
    <t>iPhone 16 Pro Max 871</t>
  </si>
  <si>
    <t>Pixel Fold 2 309</t>
  </si>
  <si>
    <t>Galaxy M55 365</t>
  </si>
  <si>
    <t>Nord 4 84</t>
  </si>
  <si>
    <t>Poco X6 Pro 289</t>
  </si>
  <si>
    <t>Mi 13 Ultra 429</t>
  </si>
  <si>
    <t>Poco X6 Pro 224</t>
  </si>
  <si>
    <t>Galaxy S24 Ultra 76</t>
  </si>
  <si>
    <t>OnePlus 13R 588</t>
  </si>
  <si>
    <t>Pixel 9 277</t>
  </si>
  <si>
    <t>GT 20 Pro 161</t>
  </si>
  <si>
    <t>Zero 30 125</t>
  </si>
  <si>
    <t>X100 Pro 110</t>
  </si>
  <si>
    <t>Y200 464</t>
  </si>
  <si>
    <t>Pixel Fold 2 971</t>
  </si>
  <si>
    <t>GT 7 Pro 653</t>
  </si>
  <si>
    <t>Poco X6 Pro 526</t>
  </si>
  <si>
    <t>V29e 256</t>
  </si>
  <si>
    <t>Smart 8 618</t>
  </si>
  <si>
    <t>Pixel 9 348</t>
  </si>
  <si>
    <t>Nord 4 281</t>
  </si>
  <si>
    <t>Pixel Fold 2 185</t>
  </si>
  <si>
    <t>Mi 14 338</t>
  </si>
  <si>
    <t>iPhone 16 778</t>
  </si>
  <si>
    <t>Galaxy S24 Ultra 69</t>
  </si>
  <si>
    <t>Narzo 70 534</t>
  </si>
  <si>
    <t>V30 973</t>
  </si>
  <si>
    <t>Pixel 9 Pro 43</t>
  </si>
  <si>
    <t>Nord 4 500</t>
  </si>
  <si>
    <t>iPhone 16 826</t>
  </si>
  <si>
    <t>Find X7 753</t>
  </si>
  <si>
    <t>Y200 311</t>
  </si>
  <si>
    <t>iPhone 14 545</t>
  </si>
  <si>
    <t>Y100A 418</t>
  </si>
  <si>
    <t>F27 Pro 604</t>
  </si>
  <si>
    <t>Pixel 7a 892</t>
  </si>
  <si>
    <t>11 Pro+ 967</t>
  </si>
  <si>
    <t>Narzo 70 451</t>
  </si>
  <si>
    <t>V30 398</t>
  </si>
  <si>
    <t>iPhone 14 869</t>
  </si>
  <si>
    <t>Nord 4 900</t>
  </si>
  <si>
    <t>Note 40 Pro 855</t>
  </si>
  <si>
    <t>V30 574</t>
  </si>
  <si>
    <t>Zero 30 344</t>
  </si>
  <si>
    <t>Galaxy S24 Ultra 375</t>
  </si>
  <si>
    <t>Smart 8 910</t>
  </si>
  <si>
    <t>Pixel 7a 974</t>
  </si>
  <si>
    <t>Pixel 8 580</t>
  </si>
  <si>
    <t>Mi 14 928</t>
  </si>
  <si>
    <t>Reno 12 799</t>
  </si>
  <si>
    <t>OnePlus 13 143</t>
  </si>
  <si>
    <t>Redmi Note 14 Pro 634</t>
  </si>
  <si>
    <t>iPhone 16 Pro Max 362</t>
  </si>
  <si>
    <t>Pixel 7a 477</t>
  </si>
  <si>
    <t>GT 20 Pro 453</t>
  </si>
  <si>
    <t>Pixel 8 615</t>
  </si>
  <si>
    <t>C65 704</t>
  </si>
  <si>
    <t>Hot 40 445</t>
  </si>
  <si>
    <t>V30 425</t>
  </si>
  <si>
    <t>C65 586</t>
  </si>
  <si>
    <t>Pixel 9 654</t>
  </si>
  <si>
    <t>Galaxy M55 851</t>
  </si>
  <si>
    <t>Galaxy Z Fold6 150</t>
  </si>
  <si>
    <t>C65 759</t>
  </si>
  <si>
    <t>V29e 261</t>
  </si>
  <si>
    <t>Reno 11 35</t>
  </si>
  <si>
    <t>iPhone 16 Pro Max 988</t>
  </si>
  <si>
    <t>Reno 12 303</t>
  </si>
  <si>
    <t>V30 861</t>
  </si>
  <si>
    <t>Nord CE 4 Lite 979</t>
  </si>
  <si>
    <t>Hot 40 120</t>
  </si>
  <si>
    <t>Zero 30 410</t>
  </si>
  <si>
    <t>GT 20 Pro 521</t>
  </si>
  <si>
    <t>Redmi Note 14 Pro 291</t>
  </si>
  <si>
    <t>Note 40 Pro 819</t>
  </si>
  <si>
    <t>Reno 12 293</t>
  </si>
  <si>
    <t>Galaxy M55 286</t>
  </si>
  <si>
    <t>Galaxy M55 323</t>
  </si>
  <si>
    <t>Poco X6 Pro 195</t>
  </si>
  <si>
    <t>iPhone 15 479</t>
  </si>
  <si>
    <t>Find X7 383</t>
  </si>
  <si>
    <t>iPhone 16 293</t>
  </si>
  <si>
    <t>X100 Pro 548</t>
  </si>
  <si>
    <t>Find X7 161</t>
  </si>
  <si>
    <t>Poco F6 162</t>
  </si>
  <si>
    <t>Note 40 Pro 692</t>
  </si>
  <si>
    <t>GT 20 Pro 983</t>
  </si>
  <si>
    <t>OnePlus 12 850</t>
  </si>
  <si>
    <t>iPhone 16 Pro Max 11</t>
  </si>
  <si>
    <t>Y200 702</t>
  </si>
  <si>
    <t>Pixel 9 284</t>
  </si>
  <si>
    <t>Pixel 9 603</t>
  </si>
  <si>
    <t>OnePlus 13R 328</t>
  </si>
  <si>
    <t>OnePlus 12 46</t>
  </si>
  <si>
    <t>V30 541</t>
  </si>
  <si>
    <t>Hot 40 117</t>
  </si>
  <si>
    <t>11 Pro+ 843</t>
  </si>
  <si>
    <t>X100 Pro 300</t>
  </si>
  <si>
    <t>iPhone 16 Pro Max 22</t>
  </si>
  <si>
    <t>Galaxy M55 965</t>
  </si>
  <si>
    <t>GT 7 Pro 119</t>
  </si>
  <si>
    <t>Smart 8 689</t>
  </si>
  <si>
    <t>OnePlus 12 59</t>
  </si>
  <si>
    <t>A98 391</t>
  </si>
  <si>
    <t>iPhone 14 712</t>
  </si>
  <si>
    <t>Nord CE 4 Lite 292</t>
  </si>
  <si>
    <t>Poco X6 Pro 823</t>
  </si>
  <si>
    <t>11 Pro+ 634</t>
  </si>
  <si>
    <t>GT 7 Pro 979</t>
  </si>
  <si>
    <t>iPhone 14 583</t>
  </si>
  <si>
    <t>Poco X6 Pro 71</t>
  </si>
  <si>
    <t>GT 7 Pro 9</t>
  </si>
  <si>
    <t>Find X7 856</t>
  </si>
  <si>
    <t>Mi 14 16</t>
  </si>
  <si>
    <t>Smart 8 26</t>
  </si>
  <si>
    <t>OnePlus 12 265</t>
  </si>
  <si>
    <t>Galaxy M55 67</t>
  </si>
  <si>
    <t>X100 Pro 84</t>
  </si>
  <si>
    <t>Smart 8 932</t>
  </si>
  <si>
    <t>V29e 415</t>
  </si>
  <si>
    <t>Nord CE 4 Lite 503</t>
  </si>
  <si>
    <t>Y100A 587</t>
  </si>
  <si>
    <t>Nord CE 4 Lite 608</t>
  </si>
  <si>
    <t>Galaxy A75 186</t>
  </si>
  <si>
    <t>iPhone 16 Pro 679</t>
  </si>
  <si>
    <t>Zero 30 132</t>
  </si>
  <si>
    <t>OnePlus 13 348</t>
  </si>
  <si>
    <t>Redmi Note 14 Pro 177</t>
  </si>
  <si>
    <t>GT 20 Pro 71</t>
  </si>
  <si>
    <t>Poco F6 373</t>
  </si>
  <si>
    <t>Pixel 8 809</t>
  </si>
  <si>
    <t>Y100A 136</t>
  </si>
  <si>
    <t>Galaxy S24 Ultra 403</t>
  </si>
  <si>
    <t>Galaxy Z Fold6 193</t>
  </si>
  <si>
    <t>Poco F6 169</t>
  </si>
  <si>
    <t>Pixel 9 43</t>
  </si>
  <si>
    <t>Pixel 9 Pro 817</t>
  </si>
  <si>
    <t>Reno 11 414</t>
  </si>
  <si>
    <t>iPhone 16 Pro 141</t>
  </si>
  <si>
    <t>Galaxy Z Fold6 820</t>
  </si>
  <si>
    <t>Galaxy S24 669</t>
  </si>
  <si>
    <t>Pixel Fold 2 221</t>
  </si>
  <si>
    <t>Y100A 261</t>
  </si>
  <si>
    <t>Pixel 9 671</t>
  </si>
  <si>
    <t>OnePlus 12 258</t>
  </si>
  <si>
    <t>Zero 30 771</t>
  </si>
  <si>
    <t>Pixel Fold 2 357</t>
  </si>
  <si>
    <t>Mi 14 946</t>
  </si>
  <si>
    <t>F27 Pro 320</t>
  </si>
  <si>
    <t>Y200 640</t>
  </si>
  <si>
    <t>OnePlus 13 149</t>
  </si>
  <si>
    <t>Reno 11 73</t>
  </si>
  <si>
    <t>Reno 11 490</t>
  </si>
  <si>
    <t>Pixel 9 Pro 669</t>
  </si>
  <si>
    <t>Note 40 Pro 787</t>
  </si>
  <si>
    <t>Smart 8 842</t>
  </si>
  <si>
    <t>F27 Pro 263</t>
  </si>
  <si>
    <t>Reno 12 284</t>
  </si>
  <si>
    <t>Galaxy S24 Ultra 700</t>
  </si>
  <si>
    <t>Reno 12 440</t>
  </si>
  <si>
    <t>Nord CE 4 Lite 51</t>
  </si>
  <si>
    <t>V30 189</t>
  </si>
  <si>
    <t>Galaxy A75 281</t>
  </si>
  <si>
    <t>Nord CE 4 Lite 220</t>
  </si>
  <si>
    <t>V29e 705</t>
  </si>
  <si>
    <t>OnePlus 13 584</t>
  </si>
  <si>
    <t>iPhone 16 Pro 875</t>
  </si>
  <si>
    <t>OnePlus 13R 421</t>
  </si>
  <si>
    <t>iPhone 16 Pro Max 955</t>
  </si>
  <si>
    <t>Pixel 7a 526</t>
  </si>
  <si>
    <t>Pixel 9 Pro 616</t>
  </si>
  <si>
    <t>Find X7 736</t>
  </si>
  <si>
    <t>iPhone 16 Pro Max 945</t>
  </si>
  <si>
    <t>iPhone 14 585</t>
  </si>
  <si>
    <t>F27 Pro 368</t>
  </si>
  <si>
    <t>Galaxy S24 576</t>
  </si>
  <si>
    <t>Reno 12 692</t>
  </si>
  <si>
    <t>Pixel 9 485</t>
  </si>
  <si>
    <t>OnePlus 13R 59</t>
  </si>
  <si>
    <t>Poco X6 Pro 588</t>
  </si>
  <si>
    <t>C65 479</t>
  </si>
  <si>
    <t>OnePlus 12 683</t>
  </si>
  <si>
    <t>OnePlus 12 706</t>
  </si>
  <si>
    <t>GT 20 Pro 782</t>
  </si>
  <si>
    <t>Pixel 9 228</t>
  </si>
  <si>
    <t>iPhone 16 577</t>
  </si>
  <si>
    <t>iPhone 16 Pro Max 449</t>
  </si>
  <si>
    <t>Nord CE 4 Lite 367</t>
  </si>
  <si>
    <t>Galaxy M55 741</t>
  </si>
  <si>
    <t>Find X7 82</t>
  </si>
  <si>
    <t>OnePlus 12 574</t>
  </si>
  <si>
    <t>iPhone 16 Pro 121</t>
  </si>
  <si>
    <t>GT 20 Pro 907</t>
  </si>
  <si>
    <t>X100 Pro 840</t>
  </si>
  <si>
    <t>iPhone 16 979</t>
  </si>
  <si>
    <t>Note 40 Pro 754</t>
  </si>
  <si>
    <t>Smart 8 822</t>
  </si>
  <si>
    <t>C65 591</t>
  </si>
  <si>
    <t>Smart 8 258</t>
  </si>
  <si>
    <t>Galaxy S24 Ultra 298</t>
  </si>
  <si>
    <t>GT Neo 6 746</t>
  </si>
  <si>
    <t>Galaxy A75 349</t>
  </si>
  <si>
    <t>Mi 14 53</t>
  </si>
  <si>
    <t>Poco X6 Pro 798</t>
  </si>
  <si>
    <t>Reno 11 52</t>
  </si>
  <si>
    <t>iPhone 15 146</t>
  </si>
  <si>
    <t>Pixel 8 951</t>
  </si>
  <si>
    <t>iPhone 16 Pro Max 193</t>
  </si>
  <si>
    <t>Hot 40 854</t>
  </si>
  <si>
    <t>Galaxy S24 Ultra 883</t>
  </si>
  <si>
    <t>Reno 11 294</t>
  </si>
  <si>
    <t>Zero 30 499</t>
  </si>
  <si>
    <t>Poco F6 247</t>
  </si>
  <si>
    <t>X100 Pro 598</t>
  </si>
  <si>
    <t>Galaxy Z Fold6 921</t>
  </si>
  <si>
    <t>Mi 14 821</t>
  </si>
  <si>
    <t>Y200 328</t>
  </si>
  <si>
    <t>Pixel 8 180</t>
  </si>
  <si>
    <t>Note 40 Pro 290</t>
  </si>
  <si>
    <t>Narzo 70 153</t>
  </si>
  <si>
    <t>Y100A 981</t>
  </si>
  <si>
    <t>Poco X6 Pro 150</t>
  </si>
  <si>
    <t>Find X7 464</t>
  </si>
  <si>
    <t>Poco X6 Pro 110</t>
  </si>
  <si>
    <t>Galaxy A75 480</t>
  </si>
  <si>
    <t>Pixel 9 Pro 260</t>
  </si>
  <si>
    <t>Pixel 8 692</t>
  </si>
  <si>
    <t>iPhone 16 Pro Max 605</t>
  </si>
  <si>
    <t>Galaxy M55 865</t>
  </si>
  <si>
    <t>Galaxy S24 Ultra 98</t>
  </si>
  <si>
    <t>Poco X6 Pro 519</t>
  </si>
  <si>
    <t>C65 862</t>
  </si>
  <si>
    <t>Pixel 7a 275</t>
  </si>
  <si>
    <t>Mi 13 Ultra 51</t>
  </si>
  <si>
    <t>Mi 13 Ultra 849</t>
  </si>
  <si>
    <t>C65 33</t>
  </si>
  <si>
    <t>V29e 885</t>
  </si>
  <si>
    <t>Zero 30 436</t>
  </si>
  <si>
    <t>11 Pro+ 590</t>
  </si>
  <si>
    <t>Galaxy Z Fold6 335</t>
  </si>
  <si>
    <t>11 Pro+ 814</t>
  </si>
  <si>
    <t>Zero 30 847</t>
  </si>
  <si>
    <t>Galaxy Z Fold6 472</t>
  </si>
  <si>
    <t>OnePlus 13R 9</t>
  </si>
  <si>
    <t>iPhone 16 Pro Max 541</t>
  </si>
  <si>
    <t>C65 776</t>
  </si>
  <si>
    <t>iPhone 14 358</t>
  </si>
  <si>
    <t>X100 Pro 978</t>
  </si>
  <si>
    <t>Pixel Fold 2 32</t>
  </si>
  <si>
    <t>V29e 888</t>
  </si>
  <si>
    <t>A98 926</t>
  </si>
  <si>
    <t>Pixel 9 917</t>
  </si>
  <si>
    <t>V30 78</t>
  </si>
  <si>
    <t>iPhone 15 23</t>
  </si>
  <si>
    <t>Note 40 Pro 173</t>
  </si>
  <si>
    <t>Pixel 9 256</t>
  </si>
  <si>
    <t>C65 370</t>
  </si>
  <si>
    <t>C65 744</t>
  </si>
  <si>
    <t>OnePlus 13 863</t>
  </si>
  <si>
    <t>Nord 4 794</t>
  </si>
  <si>
    <t>C65 269</t>
  </si>
  <si>
    <t>GT Neo 6 155</t>
  </si>
  <si>
    <t>Poco F6 937</t>
  </si>
  <si>
    <t>GT 20 Pro 122</t>
  </si>
  <si>
    <t>V29e 744</t>
  </si>
  <si>
    <t>Galaxy M55 229</t>
  </si>
  <si>
    <t>Zero 30 767</t>
  </si>
  <si>
    <t>OnePlus 13R 119</t>
  </si>
  <si>
    <t>OnePlus 13 212</t>
  </si>
  <si>
    <t>V30 9</t>
  </si>
  <si>
    <t>Nord 4 277</t>
  </si>
  <si>
    <t>Note 40 Pro 36</t>
  </si>
  <si>
    <t>Smart 8 968</t>
  </si>
  <si>
    <t>Nord 4 275</t>
  </si>
  <si>
    <t>iPhone 14 91</t>
  </si>
  <si>
    <t>A98 111</t>
  </si>
  <si>
    <t>C65 518</t>
  </si>
  <si>
    <t>X100 Pro 979</t>
  </si>
  <si>
    <t>GT 20 Pro 156</t>
  </si>
  <si>
    <t>iPhone 14 328</t>
  </si>
  <si>
    <t>iPhone 16 Pro 238</t>
  </si>
  <si>
    <t>Reno 12 328</t>
  </si>
  <si>
    <t>Galaxy Z Fold6 466</t>
  </si>
  <si>
    <t>Nord CE 4 Lite 586</t>
  </si>
  <si>
    <t>F27 Pro 537</t>
  </si>
  <si>
    <t>GT 20 Pro 828</t>
  </si>
  <si>
    <t>GT Neo 6 821</t>
  </si>
  <si>
    <t>Note 40 Pro 925</t>
  </si>
  <si>
    <t>C65 212</t>
  </si>
  <si>
    <t>Mi 13 Ultra 126</t>
  </si>
  <si>
    <t>X100 Pro 954</t>
  </si>
  <si>
    <t>OnePlus 13 88</t>
  </si>
  <si>
    <t>Pixel Fold 2 987</t>
  </si>
  <si>
    <t>Reno 11 869</t>
  </si>
  <si>
    <t>Mi 13 Ultra 5</t>
  </si>
  <si>
    <t>Smart 8 800</t>
  </si>
  <si>
    <t>X100 Pro 740</t>
  </si>
  <si>
    <t>Y200 759</t>
  </si>
  <si>
    <t>Galaxy M55 406</t>
  </si>
  <si>
    <t>F27 Pro 223</t>
  </si>
  <si>
    <t>Pixel 7a 498</t>
  </si>
  <si>
    <t>Pixel 9 Pro 529</t>
  </si>
  <si>
    <t>Pixel 9 Pro 620</t>
  </si>
  <si>
    <t>Reno 11 68</t>
  </si>
  <si>
    <t>Galaxy S24 24</t>
  </si>
  <si>
    <t>X100 Pro 684</t>
  </si>
  <si>
    <t>Narzo 70 809</t>
  </si>
  <si>
    <t>Narzo 70 810</t>
  </si>
  <si>
    <t>Galaxy M55 856</t>
  </si>
  <si>
    <t>OnePlus 12 296</t>
  </si>
  <si>
    <t>Galaxy S24 554</t>
  </si>
  <si>
    <t>Poco X6 Pro 816</t>
  </si>
  <si>
    <t>Galaxy M55 301</t>
  </si>
  <si>
    <t>Galaxy Z Fold6 52</t>
  </si>
  <si>
    <t>Nord 4 567</t>
  </si>
  <si>
    <t>OnePlus 13R 331</t>
  </si>
  <si>
    <t>Poco F6 856</t>
  </si>
  <si>
    <t>Smart 8 731</t>
  </si>
  <si>
    <t>Galaxy S24 378</t>
  </si>
  <si>
    <t>11 Pro+ 210</t>
  </si>
  <si>
    <t>V29e 240</t>
  </si>
  <si>
    <t>Galaxy M55 748</t>
  </si>
  <si>
    <t>Y200 695</t>
  </si>
  <si>
    <t>iPhone 16 Pro Max 437</t>
  </si>
  <si>
    <t>iPhone 16 Pro 165</t>
  </si>
  <si>
    <t>Pixel 8 153</t>
  </si>
  <si>
    <t>iPhone 15 752</t>
  </si>
  <si>
    <t>Nord CE 4 Lite 541</t>
  </si>
  <si>
    <t>OnePlus 12 33</t>
  </si>
  <si>
    <t>Y100A 461</t>
  </si>
  <si>
    <t>Redmi Note 14 Pro 348</t>
  </si>
  <si>
    <t>Nord CE 4 Lite 376</t>
  </si>
  <si>
    <t>Mi 13 Ultra 839</t>
  </si>
  <si>
    <t>F27 Pro 79</t>
  </si>
  <si>
    <t>X100 Pro 585</t>
  </si>
  <si>
    <t>iPhone 16 Pro Max 228</t>
  </si>
  <si>
    <t>F27 Pro 149</t>
  </si>
  <si>
    <t>iPhone 16 660</t>
  </si>
  <si>
    <t>Nord 4 295</t>
  </si>
  <si>
    <t>C65 162</t>
  </si>
  <si>
    <t>11 Pro+ 644</t>
  </si>
  <si>
    <t>Pixel Fold 2 280</t>
  </si>
  <si>
    <t>Reno 12 352</t>
  </si>
  <si>
    <t>Pixel 9 Pro 249</t>
  </si>
  <si>
    <t>Mi 14 542</t>
  </si>
  <si>
    <t>GT 7 Pro 771</t>
  </si>
  <si>
    <t>Pixel 8 416</t>
  </si>
  <si>
    <t>Mi 14 499</t>
  </si>
  <si>
    <t>Reno 11 416</t>
  </si>
  <si>
    <t>GT Neo 6 451</t>
  </si>
  <si>
    <t>Pixel 7a 2</t>
  </si>
  <si>
    <t>Poco F6 102</t>
  </si>
  <si>
    <t>Pixel 9 Pro 793</t>
  </si>
  <si>
    <t>Pixel 9 694</t>
  </si>
  <si>
    <t>Pixel 9 Pro 475</t>
  </si>
  <si>
    <t>Nord 4 586</t>
  </si>
  <si>
    <t>Mi 14 983</t>
  </si>
  <si>
    <t>Galaxy S24 506</t>
  </si>
  <si>
    <t>Pixel 7a 315</t>
  </si>
  <si>
    <t>X100 Pro 997</t>
  </si>
  <si>
    <t>Pixel 7a 566</t>
  </si>
  <si>
    <t>11 Pro+ 935</t>
  </si>
  <si>
    <t>V29e 936</t>
  </si>
  <si>
    <t>Galaxy A75 788</t>
  </si>
  <si>
    <t>Galaxy M55 303</t>
  </si>
  <si>
    <t>Galaxy S24 289</t>
  </si>
  <si>
    <t>Galaxy S24 855</t>
  </si>
  <si>
    <t>iPhone 16 Pro 99</t>
  </si>
  <si>
    <t>Pixel Fold 2 375</t>
  </si>
  <si>
    <t>Poco X6 Pro 637</t>
  </si>
  <si>
    <t>Mi 13 Ultra 967</t>
  </si>
  <si>
    <t>11 Pro+ 950</t>
  </si>
  <si>
    <t>A98 853</t>
  </si>
  <si>
    <t>iPhone 16 714</t>
  </si>
  <si>
    <t>Smart 8 808</t>
  </si>
  <si>
    <t>Reno 11 16</t>
  </si>
  <si>
    <t>Mi 13 Ultra 157</t>
  </si>
  <si>
    <t>X100 Pro 612</t>
  </si>
  <si>
    <t>Y100A 555</t>
  </si>
  <si>
    <t>F27 Pro 826</t>
  </si>
  <si>
    <t>Hot 40 177</t>
  </si>
  <si>
    <t>iPhone 16 Pro 566</t>
  </si>
  <si>
    <t>Hot 40 38</t>
  </si>
  <si>
    <t>Smart 8 912</t>
  </si>
  <si>
    <t>Pixel 9 187</t>
  </si>
  <si>
    <t>Pixel 9 470</t>
  </si>
  <si>
    <t>iPhone 16 Pro Max 355</t>
  </si>
  <si>
    <t>Mi 13 Ultra 927</t>
  </si>
  <si>
    <t>GT 20 Pro 236</t>
  </si>
  <si>
    <t>Nord 4 530</t>
  </si>
  <si>
    <t>Reno 11 946</t>
  </si>
  <si>
    <t>Zero 30 940</t>
  </si>
  <si>
    <t>GT 7 Pro 298</t>
  </si>
  <si>
    <t>OnePlus 13 603</t>
  </si>
  <si>
    <t>Galaxy A75 456</t>
  </si>
  <si>
    <t>Narzo 70 661</t>
  </si>
  <si>
    <t>Mi 14 308</t>
  </si>
  <si>
    <t>Mi 14 163</t>
  </si>
  <si>
    <t>F27 Pro 390</t>
  </si>
  <si>
    <t>Mi 13 Ultra 167</t>
  </si>
  <si>
    <t>Narzo 70 166</t>
  </si>
  <si>
    <t>iPhone 16 Pro 518</t>
  </si>
  <si>
    <t>GT Neo 6 43</t>
  </si>
  <si>
    <t>Galaxy S24 591</t>
  </si>
  <si>
    <t>GT 7 Pro 108</t>
  </si>
  <si>
    <t>OnePlus 12 776</t>
  </si>
  <si>
    <t>X100 Pro 343</t>
  </si>
  <si>
    <t>Galaxy Z Fold6 554</t>
  </si>
  <si>
    <t>F27 Pro 169</t>
  </si>
  <si>
    <t>Galaxy M55 969</t>
  </si>
  <si>
    <t>OnePlus 13 908</t>
  </si>
  <si>
    <t>Mi 14 326</t>
  </si>
  <si>
    <t>iPhone 14 43</t>
  </si>
  <si>
    <t>iPhone 14 495</t>
  </si>
  <si>
    <t>Reno 11 625</t>
  </si>
  <si>
    <t>OnePlus 13 933</t>
  </si>
  <si>
    <t>Reno 12 224</t>
  </si>
  <si>
    <t>OnePlus 12 975</t>
  </si>
  <si>
    <t>Poco X6 Pro 913</t>
  </si>
  <si>
    <t>Nord CE 4 Lite 98</t>
  </si>
  <si>
    <t>F27 Pro 139</t>
  </si>
  <si>
    <t>GT 20 Pro 990</t>
  </si>
  <si>
    <t>Mi 13 Ultra 225</t>
  </si>
  <si>
    <t>Pixel 7a 323</t>
  </si>
  <si>
    <t>X100 Pro 409</t>
  </si>
  <si>
    <t>GT Neo 6 365</t>
  </si>
  <si>
    <t>Pixel 7a 954</t>
  </si>
  <si>
    <t>A98 424</t>
  </si>
  <si>
    <t>Find X7 350</t>
  </si>
  <si>
    <t>iPhone 14 397</t>
  </si>
  <si>
    <t>Narzo 70 23</t>
  </si>
  <si>
    <t>Mi 14 154</t>
  </si>
  <si>
    <t>Pixel 7a 237</t>
  </si>
  <si>
    <t>GT 7 Pro 5</t>
  </si>
  <si>
    <t>iPhone 16 Pro Max 954</t>
  </si>
  <si>
    <t>Reno 12 338</t>
  </si>
  <si>
    <t>Galaxy Z Fold6 609</t>
  </si>
  <si>
    <t>F27 Pro 789</t>
  </si>
  <si>
    <t>iPhone 16 Pro 672</t>
  </si>
  <si>
    <t>Hot 40 779</t>
  </si>
  <si>
    <t>Note 40 Pro 885</t>
  </si>
  <si>
    <t>Galaxy Z Fold6 423</t>
  </si>
  <si>
    <t>Mi 14 649</t>
  </si>
  <si>
    <t>Galaxy A75 639</t>
  </si>
  <si>
    <t>Pixel Fold 2 99</t>
  </si>
  <si>
    <t>iPhone 16 384</t>
  </si>
  <si>
    <t>Pixel Fold 2 686</t>
  </si>
  <si>
    <t>Smart 8 114</t>
  </si>
  <si>
    <t>Pixel Fold 2 705</t>
  </si>
  <si>
    <t>Narzo 70 24</t>
  </si>
  <si>
    <t>A98 429</t>
  </si>
  <si>
    <t>Pixel 7a 412</t>
  </si>
  <si>
    <t>iPhone 16 Pro 166</t>
  </si>
  <si>
    <t>Galaxy S24 630</t>
  </si>
  <si>
    <t>Narzo 70 169</t>
  </si>
  <si>
    <t>Narzo 70 954</t>
  </si>
  <si>
    <t>Hot 40 838</t>
  </si>
  <si>
    <t>GT 20 Pro 727</t>
  </si>
  <si>
    <t>V29e 990</t>
  </si>
  <si>
    <t>Pixel 9 567</t>
  </si>
  <si>
    <t>Y200 250</t>
  </si>
  <si>
    <t>Nord CE 4 Lite 619</t>
  </si>
  <si>
    <t>GT 7 Pro 131</t>
  </si>
  <si>
    <t>Reno 12 161</t>
  </si>
  <si>
    <t>Poco F6 497</t>
  </si>
  <si>
    <t>Pixel 9 Pro 740</t>
  </si>
  <si>
    <t>iPhone 14 434</t>
  </si>
  <si>
    <t>iPhone 14 441</t>
  </si>
  <si>
    <t>Pixel 9 64</t>
  </si>
  <si>
    <t>Find X7 117</t>
  </si>
  <si>
    <t>Hot 40 184</t>
  </si>
  <si>
    <t>Y100A 216</t>
  </si>
  <si>
    <t>Galaxy A75 379</t>
  </si>
  <si>
    <t>OnePlus 12 529</t>
  </si>
  <si>
    <t>iPhone 16 Pro Max 629</t>
  </si>
  <si>
    <t>Galaxy A75 574</t>
  </si>
  <si>
    <t>Pixel 8 114</t>
  </si>
  <si>
    <t>Poco X6 Pro 832</t>
  </si>
  <si>
    <t>A98 349</t>
  </si>
  <si>
    <t>Reno 12 768</t>
  </si>
  <si>
    <t>Pixel 7a 421</t>
  </si>
  <si>
    <t>V29e 522</t>
  </si>
  <si>
    <t>GT Neo 6 297</t>
  </si>
  <si>
    <t>Pixel 9 577</t>
  </si>
  <si>
    <t>Narzo 70 772</t>
  </si>
  <si>
    <t>Poco F6 251</t>
  </si>
  <si>
    <t>GT 7 Pro 357</t>
  </si>
  <si>
    <t>GT 7 Pro 549</t>
  </si>
  <si>
    <t>Y100A 168</t>
  </si>
  <si>
    <t>Galaxy S24 Ultra 180</t>
  </si>
  <si>
    <t>X100 Pro 880</t>
  </si>
  <si>
    <t>V30 873</t>
  </si>
  <si>
    <t>iPhone 16 Pro Max 361</t>
  </si>
  <si>
    <t>iPhone 16 27</t>
  </si>
  <si>
    <t>iPhone 16 612</t>
  </si>
  <si>
    <t>Smart 8 549</t>
  </si>
  <si>
    <t>Pixel 8 175</t>
  </si>
  <si>
    <t>Poco X6 Pro 796</t>
  </si>
  <si>
    <t>Y100A 296</t>
  </si>
  <si>
    <t>GT 20 Pro 113</t>
  </si>
  <si>
    <t>Smart 8 695</t>
  </si>
  <si>
    <t>Smart 8 784</t>
  </si>
  <si>
    <t>Galaxy A75 963</t>
  </si>
  <si>
    <t>V29e 376</t>
  </si>
  <si>
    <t>GT 7 Pro 938</t>
  </si>
  <si>
    <t>iPhone 16 Pro 48</t>
  </si>
  <si>
    <t>A98 197</t>
  </si>
  <si>
    <t>iPhone 16 Pro Max 117</t>
  </si>
  <si>
    <t>OnePlus 13 132</t>
  </si>
  <si>
    <t>Note 40 Pro 711</t>
  </si>
  <si>
    <t>OnePlus 13 975</t>
  </si>
  <si>
    <t>iPhone 16 Pro 315</t>
  </si>
  <si>
    <t>Galaxy Z Fold6 711</t>
  </si>
  <si>
    <t>Pixel 9 879</t>
  </si>
  <si>
    <t>A98 108</t>
  </si>
  <si>
    <t>Poco F6 767</t>
  </si>
  <si>
    <t>Narzo 70 620</t>
  </si>
  <si>
    <t>Mi 14 324</t>
  </si>
  <si>
    <t>Poco F6 477</t>
  </si>
  <si>
    <t>Galaxy A75 923</t>
  </si>
  <si>
    <t>iPhone 16 Pro 887</t>
  </si>
  <si>
    <t>V30 561</t>
  </si>
  <si>
    <t>Pixel 8 488</t>
  </si>
  <si>
    <t>Reno 12 386</t>
  </si>
  <si>
    <t>Galaxy Z Fold6 288</t>
  </si>
  <si>
    <t>iPhone 15 776</t>
  </si>
  <si>
    <t>X100 Pro 76</t>
  </si>
  <si>
    <t>C65 602</t>
  </si>
  <si>
    <t>Galaxy Z Fold6 173</t>
  </si>
  <si>
    <t>Y100A 23</t>
  </si>
  <si>
    <t>Y100A 908</t>
  </si>
  <si>
    <t>V29e 816</t>
  </si>
  <si>
    <t>Galaxy S24 903</t>
  </si>
  <si>
    <t>GT 20 Pro 47</t>
  </si>
  <si>
    <t>Smart 8 220</t>
  </si>
  <si>
    <t>Zero 30 20</t>
  </si>
  <si>
    <t>GT 20 Pro 845</t>
  </si>
  <si>
    <t>Pixel Fold 2 610</t>
  </si>
  <si>
    <t>Reno 11 621</t>
  </si>
  <si>
    <t>11 Pro+ 697</t>
  </si>
  <si>
    <t>Mi 13 Ultra 708</t>
  </si>
  <si>
    <t>Pixel 8 540</t>
  </si>
  <si>
    <t>Mi 14 105</t>
  </si>
  <si>
    <t>iPhone 16 645</t>
  </si>
  <si>
    <t>Nord CE 4 Lite 147</t>
  </si>
  <si>
    <t>V29e 165</t>
  </si>
  <si>
    <t>Mi 13 Ultra 891</t>
  </si>
  <si>
    <t>OnePlus 13 728</t>
  </si>
  <si>
    <t>GT 20 Pro 69</t>
  </si>
  <si>
    <t>Mi 14 434</t>
  </si>
  <si>
    <t>Galaxy Z Fold6 195</t>
  </si>
  <si>
    <t>Narzo 70 742</t>
  </si>
  <si>
    <t>Galaxy A75 612</t>
  </si>
  <si>
    <t>A98 206</t>
  </si>
  <si>
    <t>A98 167</t>
  </si>
  <si>
    <t>GT 7 Pro 556</t>
  </si>
  <si>
    <t>Galaxy A75 912</t>
  </si>
  <si>
    <t>Poco F6 298</t>
  </si>
  <si>
    <t>Mi 14 209</t>
  </si>
  <si>
    <t>Pixel 7a 89</t>
  </si>
  <si>
    <t>Y200 603</t>
  </si>
  <si>
    <t>Note 40 Pro 172</t>
  </si>
  <si>
    <t>GT 20 Pro 745</t>
  </si>
  <si>
    <t>Reno 11 550</t>
  </si>
  <si>
    <t>Zero 30 194</t>
  </si>
  <si>
    <t>V29e 299</t>
  </si>
  <si>
    <t>OnePlus 13 483</t>
  </si>
  <si>
    <t>GT 7 Pro 522</t>
  </si>
  <si>
    <t>iPhone 16 897</t>
  </si>
  <si>
    <t>11 Pro+ 753</t>
  </si>
  <si>
    <t>OnePlus 13 360</t>
  </si>
  <si>
    <t>iPhone 16 Pro Max 419</t>
  </si>
  <si>
    <t>Mi 14 89</t>
  </si>
  <si>
    <t>GT 20 Pro 284</t>
  </si>
  <si>
    <t>Poco X6 Pro 955</t>
  </si>
  <si>
    <t>OnePlus 12 755</t>
  </si>
  <si>
    <t>Pixel 8 418</t>
  </si>
  <si>
    <t>OnePlus 13 548</t>
  </si>
  <si>
    <t>Y100A 133</t>
  </si>
  <si>
    <t>A98 582</t>
  </si>
  <si>
    <t>OnePlus 13 578</t>
  </si>
  <si>
    <t>iPhone 16 388</t>
  </si>
  <si>
    <t>A98 242</t>
  </si>
  <si>
    <t>Smart 8 176</t>
  </si>
  <si>
    <t>A98 33</t>
  </si>
  <si>
    <t>iPhone 15 551</t>
  </si>
  <si>
    <t>Galaxy M55 471</t>
  </si>
  <si>
    <t>OnePlus 13 841</t>
  </si>
  <si>
    <t>Pixel 9 743</t>
  </si>
  <si>
    <t>GT 20 Pro 695</t>
  </si>
  <si>
    <t>Redmi Note 14 Pro 199</t>
  </si>
  <si>
    <t>11 Pro+ 904</t>
  </si>
  <si>
    <t>OnePlus 13R 921</t>
  </si>
  <si>
    <t>F27 Pro 456</t>
  </si>
  <si>
    <t>Pixel 9 125</t>
  </si>
  <si>
    <t>Nord CE 4 Lite 797</t>
  </si>
  <si>
    <t>Reno 12 147</t>
  </si>
  <si>
    <t>iPhone 16 206</t>
  </si>
  <si>
    <t>Nord CE 4 Lite 501</t>
  </si>
  <si>
    <t>OnePlus 13R 774</t>
  </si>
  <si>
    <t>Mi 14 62</t>
  </si>
  <si>
    <t>Y100A 322</t>
  </si>
  <si>
    <t>iPhone 15 557</t>
  </si>
  <si>
    <t>OnePlus 13 343</t>
  </si>
  <si>
    <t>GT Neo 6 840</t>
  </si>
  <si>
    <t>Pixel 9 Pro 288</t>
  </si>
  <si>
    <t>Narzo 70 406</t>
  </si>
  <si>
    <t>Pixel 9 Pro 78</t>
  </si>
  <si>
    <t>A98 898</t>
  </si>
  <si>
    <t>X100 Pro 34</t>
  </si>
  <si>
    <t>iPhone 15 325</t>
  </si>
  <si>
    <t>Y200 568</t>
  </si>
  <si>
    <t>Y100A 175</t>
  </si>
  <si>
    <t>Mi 13 Ultra 846</t>
  </si>
  <si>
    <t>GT 7 Pro 425</t>
  </si>
  <si>
    <t>GT Neo 6 449</t>
  </si>
  <si>
    <t>Mi 14 497</t>
  </si>
  <si>
    <t>Pixel 9 Pro 537</t>
  </si>
  <si>
    <t>Galaxy Z Fold6 163</t>
  </si>
  <si>
    <t>Pixel 8 185</t>
  </si>
  <si>
    <t>iPhone 16 Pro Max 814</t>
  </si>
  <si>
    <t>Mi 13 Ultra 418</t>
  </si>
  <si>
    <t>X100 Pro 903</t>
  </si>
  <si>
    <t>Find X7 15</t>
  </si>
  <si>
    <t>A98 972</t>
  </si>
  <si>
    <t>Poco F6 396</t>
  </si>
  <si>
    <t>Pixel 9 345</t>
  </si>
  <si>
    <t>11 Pro+ 103</t>
  </si>
  <si>
    <t>Hot 40 111</t>
  </si>
  <si>
    <t>Poco X6 Pro 270</t>
  </si>
  <si>
    <t>OnePlus 13R 465</t>
  </si>
  <si>
    <t>Mi 13 Ultra 539</t>
  </si>
  <si>
    <t>Pixel Fold 2 89</t>
  </si>
  <si>
    <t>Galaxy A75 860</t>
  </si>
  <si>
    <t>Mi 14 617</t>
  </si>
  <si>
    <t>OnePlus 13R 130</t>
  </si>
  <si>
    <t>Hot 40 460</t>
  </si>
  <si>
    <t>Galaxy S24 Ultra 502</t>
  </si>
  <si>
    <t>Smart 8 143</t>
  </si>
  <si>
    <t>iPhone 16 207</t>
  </si>
  <si>
    <t>iPhone 16 Pro 894</t>
  </si>
  <si>
    <t>V30 278</t>
  </si>
  <si>
    <t>Pixel 8 701</t>
  </si>
  <si>
    <t>Poco X6 Pro 966</t>
  </si>
  <si>
    <t>Pixel 8 485</t>
  </si>
  <si>
    <t>Nord CE 4 Lite 973</t>
  </si>
  <si>
    <t>GT 7 Pro 870</t>
  </si>
  <si>
    <t>Galaxy S24 Ultra 974</t>
  </si>
  <si>
    <t>Redmi Note 14 Pro 402</t>
  </si>
  <si>
    <t>Smart 8 818</t>
  </si>
  <si>
    <t>V30 220</t>
  </si>
  <si>
    <t>Narzo 70 415</t>
  </si>
  <si>
    <t>Nord CE 4 Lite 860</t>
  </si>
  <si>
    <t>iPhone 14 59</t>
  </si>
  <si>
    <t>Y100A 290</t>
  </si>
  <si>
    <t>Find X7 378</t>
  </si>
  <si>
    <t>Pixel 9 Pro 845</t>
  </si>
  <si>
    <t>Smart 8 989</t>
  </si>
  <si>
    <t>Pixel 8 349</t>
  </si>
  <si>
    <t>Y200 244</t>
  </si>
  <si>
    <t>OnePlus 13 838</t>
  </si>
  <si>
    <t>A98 278</t>
  </si>
  <si>
    <t>Y200 221</t>
  </si>
  <si>
    <t>Mi 14 806</t>
  </si>
  <si>
    <t>Galaxy S24 Ultra 609</t>
  </si>
  <si>
    <t>Galaxy Z Fold6 721</t>
  </si>
  <si>
    <t>Y100A 553</t>
  </si>
  <si>
    <t>iPhone 15 98</t>
  </si>
  <si>
    <t>GT Neo 6 18</t>
  </si>
  <si>
    <t>OnePlus 12 398</t>
  </si>
  <si>
    <t>Galaxy Z Fold6 192</t>
  </si>
  <si>
    <t>Pixel 9 275</t>
  </si>
  <si>
    <t>Redmi Note 14 Pro 928</t>
  </si>
  <si>
    <t>Nord 4 508</t>
  </si>
  <si>
    <t>Zero 30 566</t>
  </si>
  <si>
    <t>OnePlus 13 308</t>
  </si>
  <si>
    <t>Reno 11 742</t>
  </si>
  <si>
    <t>Nord CE 4 Lite 708</t>
  </si>
  <si>
    <t>iPhone 16 Pro Max 359</t>
  </si>
  <si>
    <t>Y100A 67</t>
  </si>
  <si>
    <t>Y200 500</t>
  </si>
  <si>
    <t>C65 454</t>
  </si>
  <si>
    <t>V29e 767</t>
  </si>
  <si>
    <t>OnePlus 12 621</t>
  </si>
  <si>
    <t>A98 506</t>
  </si>
  <si>
    <t>Pixel 7a 684</t>
  </si>
  <si>
    <t>Poco X6 Pro 229</t>
  </si>
  <si>
    <t>Pixel 7a 380</t>
  </si>
  <si>
    <t>V30 326</t>
  </si>
  <si>
    <t>Note 40 Pro 164</t>
  </si>
  <si>
    <t>Reno 12 524</t>
  </si>
  <si>
    <t>iPhone 15 867</t>
  </si>
  <si>
    <t>Narzo 70 537</t>
  </si>
  <si>
    <t>Note 40 Pro 964</t>
  </si>
  <si>
    <t>Galaxy M55 840</t>
  </si>
  <si>
    <t>Galaxy M55 627</t>
  </si>
  <si>
    <t>Mi 13 Ultra 916</t>
  </si>
  <si>
    <t>Pixel 9 Pro 111</t>
  </si>
  <si>
    <t>A98 334</t>
  </si>
  <si>
    <t>iPhone 16 Pro 225</t>
  </si>
  <si>
    <t>Poco X6 Pro 537</t>
  </si>
  <si>
    <t>Reno 11 954</t>
  </si>
  <si>
    <t>Nord CE 4 Lite 757</t>
  </si>
  <si>
    <t>iPhone 16 Pro Max 232</t>
  </si>
  <si>
    <t>Y200 471</t>
  </si>
  <si>
    <t>Redmi Note 14 Pro 742</t>
  </si>
  <si>
    <t>Nord 4 618</t>
  </si>
  <si>
    <t>OnePlus 12 448</t>
  </si>
  <si>
    <t>Reno 11 961</t>
  </si>
  <si>
    <t>Mi 13 Ultra 791</t>
  </si>
  <si>
    <t>X100 Pro 47</t>
  </si>
  <si>
    <t>Pixel 7a 786</t>
  </si>
  <si>
    <t>iPhone 16 Pro 236</t>
  </si>
  <si>
    <t>OnePlus 12 428</t>
  </si>
  <si>
    <t>Find X7 302</t>
  </si>
  <si>
    <t>Mi 14 694</t>
  </si>
  <si>
    <t>Nord CE 4 Lite 508</t>
  </si>
  <si>
    <t>Hot 40 763</t>
  </si>
  <si>
    <t>Galaxy A75 375</t>
  </si>
  <si>
    <t>iPhone 16 Pro 656</t>
  </si>
  <si>
    <t>GT 20 Pro 749</t>
  </si>
  <si>
    <t>Hot 40 658</t>
  </si>
  <si>
    <t>iPhone 16 Pro Max 533</t>
  </si>
  <si>
    <t>Smart 8 626</t>
  </si>
  <si>
    <t>OnePlus 13R 542</t>
  </si>
  <si>
    <t>Redmi Note 14 Pro 171</t>
  </si>
  <si>
    <t>iPhone 16 Pro 711</t>
  </si>
  <si>
    <t>Reno 11 184</t>
  </si>
  <si>
    <t>Y100A 826</t>
  </si>
  <si>
    <t>F27 Pro 521</t>
  </si>
  <si>
    <t>X100 Pro 645</t>
  </si>
  <si>
    <t>Pixel 9 Pro 577</t>
  </si>
  <si>
    <t>Pixel 9 Pro 753</t>
  </si>
  <si>
    <t>Reno 12 973</t>
  </si>
  <si>
    <t>V30 770</t>
  </si>
  <si>
    <t>OnePlus 12 687</t>
  </si>
  <si>
    <t>GT 20 Pro 773</t>
  </si>
  <si>
    <t>Y200 613</t>
  </si>
  <si>
    <t>A98 49</t>
  </si>
  <si>
    <t>X100 Pro 935</t>
  </si>
  <si>
    <t>Poco X6 Pro 204</t>
  </si>
  <si>
    <t>OnePlus 13 787</t>
  </si>
  <si>
    <t>Galaxy S24 820</t>
  </si>
  <si>
    <t>F27 Pro 502</t>
  </si>
  <si>
    <t>V30 125</t>
  </si>
  <si>
    <t>Grand Total</t>
  </si>
  <si>
    <t>price_category</t>
  </si>
  <si>
    <t>Min price:</t>
  </si>
  <si>
    <t>Max price:</t>
  </si>
  <si>
    <t>Cheap</t>
  </si>
  <si>
    <t>deciles</t>
  </si>
  <si>
    <t>f</t>
  </si>
  <si>
    <t>Average per group:</t>
  </si>
  <si>
    <t>Cheap (upper bound)</t>
  </si>
  <si>
    <t>Medium (upper bound)</t>
  </si>
  <si>
    <t>Expensive (upper bound)</t>
  </si>
  <si>
    <t>Sum of price_usd</t>
  </si>
  <si>
    <t>Expensive</t>
  </si>
  <si>
    <t>Medium</t>
  </si>
  <si>
    <t>Higher</t>
  </si>
  <si>
    <t>Gini Index</t>
  </si>
  <si>
    <r>
      <t>D</t>
    </r>
    <r>
      <rPr>
        <b/>
        <vertAlign val="subscript"/>
        <sz val="11"/>
        <color rgb="FF156082"/>
        <rFont val="Times New Roman"/>
        <family val="1"/>
        <charset val="204"/>
      </rPr>
      <t>1</t>
    </r>
  </si>
  <si>
    <r>
      <t>Q</t>
    </r>
    <r>
      <rPr>
        <b/>
        <vertAlign val="subscript"/>
        <sz val="11"/>
        <color rgb="FF156082"/>
        <rFont val="Times New Roman"/>
        <family val="1"/>
        <charset val="204"/>
      </rPr>
      <t>1</t>
    </r>
  </si>
  <si>
    <r>
      <t>Q</t>
    </r>
    <r>
      <rPr>
        <b/>
        <vertAlign val="subscript"/>
        <sz val="11"/>
        <color rgb="FF156082"/>
        <rFont val="Times New Roman"/>
        <family val="1"/>
        <charset val="204"/>
      </rPr>
      <t>3</t>
    </r>
  </si>
  <si>
    <r>
      <t>D</t>
    </r>
    <r>
      <rPr>
        <b/>
        <vertAlign val="subscript"/>
        <sz val="11"/>
        <color rgb="FF156082"/>
        <rFont val="Times New Roman"/>
        <family val="1"/>
        <charset val="204"/>
      </rPr>
      <t>9</t>
    </r>
  </si>
  <si>
    <r>
      <t>R</t>
    </r>
    <r>
      <rPr>
        <b/>
        <vertAlign val="subscript"/>
        <sz val="11"/>
        <color rgb="FF156082"/>
        <rFont val="Times New Roman"/>
        <family val="1"/>
        <charset val="204"/>
      </rPr>
      <t>0.5</t>
    </r>
  </si>
  <si>
    <r>
      <t>R</t>
    </r>
    <r>
      <rPr>
        <b/>
        <vertAlign val="subscript"/>
        <sz val="11"/>
        <color rgb="FF156082"/>
        <rFont val="Times New Roman"/>
        <family val="1"/>
        <charset val="204"/>
      </rPr>
      <t>0.8</t>
    </r>
  </si>
  <si>
    <r>
      <t>σ</t>
    </r>
    <r>
      <rPr>
        <b/>
        <vertAlign val="superscript"/>
        <sz val="11"/>
        <color rgb="FF156082"/>
        <rFont val="Times New Roman"/>
        <family val="1"/>
        <charset val="204"/>
      </rPr>
      <t>2</t>
    </r>
  </si>
  <si>
    <r>
      <t>F</t>
    </r>
    <r>
      <rPr>
        <b/>
        <vertAlign val="subscript"/>
        <sz val="11"/>
        <color rgb="FF156082"/>
        <rFont val="Times New Roman"/>
        <family val="1"/>
        <charset val="204"/>
      </rPr>
      <t>0.25</t>
    </r>
  </si>
  <si>
    <r>
      <t>F</t>
    </r>
    <r>
      <rPr>
        <b/>
        <vertAlign val="subscript"/>
        <sz val="11"/>
        <color rgb="FF156082"/>
        <rFont val="Times New Roman"/>
        <family val="1"/>
        <charset val="204"/>
      </rPr>
      <t>0.1</t>
    </r>
  </si>
  <si>
    <r>
      <t>α</t>
    </r>
    <r>
      <rPr>
        <b/>
        <vertAlign val="subscript"/>
        <sz val="11"/>
        <color rgb="FF156082"/>
        <rFont val="Times New Roman"/>
        <family val="1"/>
        <charset val="204"/>
      </rPr>
      <t>3</t>
    </r>
  </si>
  <si>
    <r>
      <t>α</t>
    </r>
    <r>
      <rPr>
        <b/>
        <vertAlign val="subscript"/>
        <sz val="11"/>
        <color rgb="FF156082"/>
        <rFont val="Times New Roman"/>
        <family val="1"/>
        <charset val="204"/>
      </rPr>
      <t>4</t>
    </r>
  </si>
  <si>
    <t xml:space="preserve">In camera_mp there is a range of standard megapixel amount: 12, 48, 50, 64, 108 and 200. 200 is very common and appears multiple times here, so excluding it would be unlikely.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</si>
</sst>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</font>
    <font>
      <sz val="11"/>
      <color theme="0"/>
      <name val="Times New Roman"/>
    </font>
    <font>
      <b/>
      <sz val="11"/>
      <color theme="0"/>
      <name val="Times New Roman"/>
    </font>
    <font>
      <b/>
      <sz val="11"/>
      <color theme="1"/>
      <name val="Times New Roman"/>
    </font>
    <font>
      <sz val="11"/>
      <color theme="1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FFFF"/>
      <name val="Times New Roman"/>
      <family val="1"/>
      <charset val="204"/>
    </font>
    <font>
      <b/>
      <sz val="11"/>
      <color rgb="FF15608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vertAlign val="subscript"/>
      <sz val="11"/>
      <color rgb="FF156082"/>
      <name val="Times New Roman"/>
      <family val="1"/>
      <charset val="204"/>
    </font>
    <font>
      <b/>
      <vertAlign val="superscript"/>
      <sz val="11"/>
      <color rgb="FF156082"/>
      <name val="Times New Roman"/>
      <family val="1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5608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18" fillId="33" borderId="10" xfId="0" applyFont="1" applyFill="1" applyBorder="1"/>
    <xf numFmtId="0" fontId="18" fillId="35" borderId="23" xfId="0" applyFont="1" applyFill="1" applyBorder="1"/>
    <xf numFmtId="0" fontId="18" fillId="39" borderId="11" xfId="0" applyFont="1" applyFill="1" applyBorder="1"/>
    <xf numFmtId="0" fontId="18" fillId="0" borderId="0" xfId="0" applyFont="1"/>
    <xf numFmtId="0" fontId="18" fillId="0" borderId="10" xfId="0" applyFont="1" applyBorder="1"/>
    <xf numFmtId="0" fontId="18" fillId="0" borderId="23" xfId="0" applyFont="1" applyBorder="1"/>
    <xf numFmtId="0" fontId="18" fillId="0" borderId="11" xfId="0" applyFont="1" applyBorder="1"/>
    <xf numFmtId="0" fontId="19" fillId="38" borderId="11" xfId="0" applyFont="1" applyFill="1" applyBorder="1"/>
    <xf numFmtId="0" fontId="19" fillId="38" borderId="11" xfId="0" applyFont="1" applyFill="1" applyBorder="1" applyAlignment="1">
      <alignment horizontal="center"/>
    </xf>
    <xf numFmtId="10" fontId="18" fillId="0" borderId="11" xfId="0" applyNumberFormat="1" applyFont="1" applyBorder="1"/>
    <xf numFmtId="0" fontId="18" fillId="0" borderId="0" xfId="0" pivotButton="1" applyFont="1"/>
    <xf numFmtId="0" fontId="19" fillId="0" borderId="0" xfId="0" applyFont="1"/>
    <xf numFmtId="0" fontId="21" fillId="0" borderId="11" xfId="0" applyFont="1" applyBorder="1"/>
    <xf numFmtId="10" fontId="18" fillId="0" borderId="0" xfId="0" applyNumberFormat="1" applyFont="1"/>
    <xf numFmtId="0" fontId="21" fillId="0" borderId="20" xfId="0" applyFont="1" applyBorder="1"/>
    <xf numFmtId="0" fontId="18" fillId="0" borderId="20" xfId="0" applyFont="1" applyBorder="1"/>
    <xf numFmtId="0" fontId="22" fillId="33" borderId="10" xfId="0" applyFont="1" applyFill="1" applyBorder="1"/>
    <xf numFmtId="0" fontId="22" fillId="35" borderId="10" xfId="0" applyFont="1" applyFill="1" applyBorder="1"/>
    <xf numFmtId="0" fontId="22" fillId="34" borderId="10" xfId="0" applyFont="1" applyFill="1" applyBorder="1"/>
    <xf numFmtId="0" fontId="22" fillId="0" borderId="0" xfId="0" applyFont="1"/>
    <xf numFmtId="0" fontId="22" fillId="35" borderId="0" xfId="0" applyFont="1" applyFill="1"/>
    <xf numFmtId="0" fontId="22" fillId="0" borderId="10" xfId="0" applyFont="1" applyBorder="1"/>
    <xf numFmtId="0" fontId="22" fillId="33" borderId="0" xfId="0" applyFont="1" applyFill="1"/>
    <xf numFmtId="0" fontId="22" fillId="34" borderId="0" xfId="0" applyFont="1" applyFill="1"/>
    <xf numFmtId="0" fontId="22" fillId="0" borderId="18" xfId="0" applyFont="1" applyBorder="1"/>
    <xf numFmtId="0" fontId="23" fillId="38" borderId="12" xfId="0" applyFont="1" applyFill="1" applyBorder="1"/>
    <xf numFmtId="0" fontId="23" fillId="38" borderId="11" xfId="0" applyFont="1" applyFill="1" applyBorder="1"/>
    <xf numFmtId="0" fontId="22" fillId="0" borderId="11" xfId="0" applyFont="1" applyBorder="1"/>
    <xf numFmtId="164" fontId="22" fillId="0" borderId="11" xfId="0" applyNumberFormat="1" applyFont="1" applyBorder="1"/>
    <xf numFmtId="0" fontId="24" fillId="0" borderId="11" xfId="0" applyFont="1" applyBorder="1"/>
    <xf numFmtId="0" fontId="25" fillId="36" borderId="15" xfId="0" applyFont="1" applyFill="1" applyBorder="1"/>
    <xf numFmtId="0" fontId="25" fillId="36" borderId="16" xfId="0" applyFont="1" applyFill="1" applyBorder="1" applyAlignment="1">
      <alignment wrapText="1"/>
    </xf>
    <xf numFmtId="0" fontId="25" fillId="0" borderId="0" xfId="0" applyFont="1" applyAlignment="1">
      <alignment wrapText="1"/>
    </xf>
    <xf numFmtId="0" fontId="23" fillId="38" borderId="0" xfId="0" applyFont="1" applyFill="1"/>
    <xf numFmtId="0" fontId="26" fillId="0" borderId="11" xfId="0" applyFont="1" applyBorder="1" applyAlignment="1">
      <alignment wrapText="1"/>
    </xf>
    <xf numFmtId="0" fontId="27" fillId="37" borderId="11" xfId="0" applyFont="1" applyFill="1" applyBorder="1"/>
    <xf numFmtId="0" fontId="28" fillId="38" borderId="11" xfId="0" applyFont="1" applyFill="1" applyBorder="1"/>
    <xf numFmtId="10" fontId="22" fillId="0" borderId="11" xfId="0" applyNumberFormat="1" applyFont="1" applyBorder="1"/>
    <xf numFmtId="0" fontId="26" fillId="0" borderId="17" xfId="0" applyFont="1" applyBorder="1" applyAlignment="1">
      <alignment wrapText="1"/>
    </xf>
    <xf numFmtId="0" fontId="27" fillId="37" borderId="17" xfId="0" applyFont="1" applyFill="1" applyBorder="1"/>
    <xf numFmtId="0" fontId="26" fillId="0" borderId="12" xfId="0" applyFont="1" applyBorder="1" applyAlignment="1">
      <alignment wrapText="1"/>
    </xf>
    <xf numFmtId="0" fontId="27" fillId="37" borderId="12" xfId="0" applyFont="1" applyFill="1" applyBorder="1"/>
    <xf numFmtId="0" fontId="27" fillId="37" borderId="14" xfId="0" applyFont="1" applyFill="1" applyBorder="1"/>
    <xf numFmtId="0" fontId="27" fillId="37" borderId="13" xfId="0" applyFont="1" applyFill="1" applyBorder="1"/>
    <xf numFmtId="0" fontId="22" fillId="0" borderId="12" xfId="0" applyFont="1" applyBorder="1"/>
    <xf numFmtId="0" fontId="22" fillId="0" borderId="20" xfId="0" applyFont="1" applyBorder="1"/>
    <xf numFmtId="0" fontId="26" fillId="0" borderId="19" xfId="0" applyFont="1" applyBorder="1" applyAlignment="1">
      <alignment wrapText="1"/>
    </xf>
    <xf numFmtId="0" fontId="22" fillId="0" borderId="17" xfId="0" applyFont="1" applyBorder="1"/>
    <xf numFmtId="0" fontId="20" fillId="38" borderId="22" xfId="0" applyFont="1" applyFill="1" applyBorder="1" applyAlignment="1">
      <alignment horizontal="center" vertical="center" textRotation="90"/>
    </xf>
    <xf numFmtId="0" fontId="19" fillId="38" borderId="19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Prices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Global_Mobile_Prices_2025_Exten!$O$11:$P$17</c:f>
              <c:multiLvlStrCache>
                <c:ptCount val="7"/>
                <c:lvl>
                  <c:pt idx="0">
                    <c:v>300</c:v>
                  </c:pt>
                  <c:pt idx="1">
                    <c:v>500</c:v>
                  </c:pt>
                  <c:pt idx="2">
                    <c:v>700</c:v>
                  </c:pt>
                  <c:pt idx="3">
                    <c:v>900</c:v>
                  </c:pt>
                  <c:pt idx="4">
                    <c:v>1100</c:v>
                  </c:pt>
                  <c:pt idx="5">
                    <c:v>1300</c:v>
                  </c:pt>
                  <c:pt idx="6">
                    <c:v>1500</c:v>
                  </c:pt>
                </c:lvl>
                <c:lvl>
                  <c:pt idx="0">
                    <c:v>100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900</c:v>
                  </c:pt>
                  <c:pt idx="5">
                    <c:v>1100</c:v>
                  </c:pt>
                  <c:pt idx="6">
                    <c:v>1300</c:v>
                  </c:pt>
                </c:lvl>
              </c:multiLvlStrCache>
            </c:multiLvlStrRef>
          </c:cat>
          <c:val>
            <c:numRef>
              <c:f>Global_Mobile_Prices_2025_Exten!$Q$11:$Q$17</c:f>
              <c:numCache>
                <c:formatCode>General</c:formatCode>
                <c:ptCount val="7"/>
                <c:pt idx="0">
                  <c:v>148</c:v>
                </c:pt>
                <c:pt idx="1">
                  <c:v>133</c:v>
                </c:pt>
                <c:pt idx="2">
                  <c:v>129</c:v>
                </c:pt>
                <c:pt idx="3">
                  <c:v>153</c:v>
                </c:pt>
                <c:pt idx="4">
                  <c:v>135</c:v>
                </c:pt>
                <c:pt idx="5">
                  <c:v>150</c:v>
                </c:pt>
                <c:pt idx="6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B-41A0-9D5A-9201B9D19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03475232"/>
        <c:axId val="603501152"/>
      </c:barChart>
      <c:catAx>
        <c:axId val="6034752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501152"/>
        <c:crosses val="autoZero"/>
        <c:auto val="1"/>
        <c:lblAlgn val="ctr"/>
        <c:lblOffset val="100"/>
        <c:noMultiLvlLbl val="0"/>
      </c:catAx>
      <c:valAx>
        <c:axId val="6035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347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Lorenz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Global_Mobile_Prices_2025_Exten!$R$23:$R$30</c:f>
              <c:numCache>
                <c:formatCode>0.0%</c:formatCode>
                <c:ptCount val="8"/>
                <c:pt idx="0" formatCode="0.00%">
                  <c:v>0</c:v>
                </c:pt>
                <c:pt idx="1">
                  <c:v>0.14799999999999999</c:v>
                </c:pt>
                <c:pt idx="2">
                  <c:v>0.28100000000000003</c:v>
                </c:pt>
                <c:pt idx="3">
                  <c:v>0.41000000000000003</c:v>
                </c:pt>
                <c:pt idx="4">
                  <c:v>0.56300000000000006</c:v>
                </c:pt>
                <c:pt idx="5">
                  <c:v>0.69800000000000006</c:v>
                </c:pt>
                <c:pt idx="6">
                  <c:v>0.84800000000000009</c:v>
                </c:pt>
                <c:pt idx="7">
                  <c:v>1</c:v>
                </c:pt>
              </c:numCache>
            </c:numRef>
          </c:xVal>
          <c:yVal>
            <c:numRef>
              <c:f>Global_Mobile_Prices_2025_Exten!$S$23:$S$30</c:f>
              <c:numCache>
                <c:formatCode>0.0%</c:formatCode>
                <c:ptCount val="8"/>
                <c:pt idx="0" formatCode="0.00%">
                  <c:v>0</c:v>
                </c:pt>
                <c:pt idx="1">
                  <c:v>3.6525172754195458E-2</c:v>
                </c:pt>
                <c:pt idx="2">
                  <c:v>0.10217176702862785</c:v>
                </c:pt>
                <c:pt idx="3">
                  <c:v>0.197680157946693</c:v>
                </c:pt>
                <c:pt idx="4">
                  <c:v>0.3487166831194472</c:v>
                </c:pt>
                <c:pt idx="5">
                  <c:v>0.51530108588351431</c:v>
                </c:pt>
                <c:pt idx="6">
                  <c:v>0.73741362290227053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12-4CE0-9BF6-3E72EB14DEEB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Global_Mobile_Prices_2025_Exten!$R$23:$R$30</c:f>
              <c:numCache>
                <c:formatCode>0.0%</c:formatCode>
                <c:ptCount val="8"/>
                <c:pt idx="0" formatCode="0.00%">
                  <c:v>0</c:v>
                </c:pt>
                <c:pt idx="1">
                  <c:v>0.14799999999999999</c:v>
                </c:pt>
                <c:pt idx="2">
                  <c:v>0.28100000000000003</c:v>
                </c:pt>
                <c:pt idx="3">
                  <c:v>0.41000000000000003</c:v>
                </c:pt>
                <c:pt idx="4">
                  <c:v>0.56300000000000006</c:v>
                </c:pt>
                <c:pt idx="5">
                  <c:v>0.69800000000000006</c:v>
                </c:pt>
                <c:pt idx="6">
                  <c:v>0.84800000000000009</c:v>
                </c:pt>
                <c:pt idx="7">
                  <c:v>1</c:v>
                </c:pt>
              </c:numCache>
            </c:numRef>
          </c:xVal>
          <c:yVal>
            <c:numRef>
              <c:f>Global_Mobile_Prices_2025_Exten!$R$23:$R$30</c:f>
              <c:numCache>
                <c:formatCode>0.0%</c:formatCode>
                <c:ptCount val="8"/>
                <c:pt idx="0" formatCode="0.00%">
                  <c:v>0</c:v>
                </c:pt>
                <c:pt idx="1">
                  <c:v>0.14799999999999999</c:v>
                </c:pt>
                <c:pt idx="2">
                  <c:v>0.28100000000000003</c:v>
                </c:pt>
                <c:pt idx="3">
                  <c:v>0.41000000000000003</c:v>
                </c:pt>
                <c:pt idx="4">
                  <c:v>0.56300000000000006</c:v>
                </c:pt>
                <c:pt idx="5">
                  <c:v>0.69800000000000006</c:v>
                </c:pt>
                <c:pt idx="6">
                  <c:v>0.84800000000000009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12-4CE0-9BF6-3E72EB14D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3239"/>
        <c:axId val="13989383"/>
      </c:scatterChart>
      <c:valAx>
        <c:axId val="13983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9383"/>
        <c:crosses val="autoZero"/>
        <c:crossBetween val="midCat"/>
      </c:valAx>
      <c:valAx>
        <c:axId val="1398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'Grouping (Lorenz)'!$F$46:$F$56</c:f>
              <c:numCache>
                <c:formatCode>0.00%</c:formatCode>
                <c:ptCount val="11"/>
                <c:pt idx="0">
                  <c:v>0</c:v>
                </c:pt>
                <c:pt idx="1">
                  <c:v>9.8290598290598288E-2</c:v>
                </c:pt>
                <c:pt idx="2">
                  <c:v>0.20085470085470086</c:v>
                </c:pt>
                <c:pt idx="3">
                  <c:v>0.29914529914529914</c:v>
                </c:pt>
                <c:pt idx="4">
                  <c:v>0.40170940170940173</c:v>
                </c:pt>
                <c:pt idx="5">
                  <c:v>0.5</c:v>
                </c:pt>
                <c:pt idx="6">
                  <c:v>0.60256410256410253</c:v>
                </c:pt>
                <c:pt idx="7">
                  <c:v>0.70085470085470081</c:v>
                </c:pt>
                <c:pt idx="8">
                  <c:v>0.80341880341880334</c:v>
                </c:pt>
                <c:pt idx="9">
                  <c:v>0.90170940170940161</c:v>
                </c:pt>
                <c:pt idx="10">
                  <c:v>0.99999999999999989</c:v>
                </c:pt>
              </c:numCache>
            </c:numRef>
          </c:xVal>
          <c:yVal>
            <c:numRef>
              <c:f>'Grouping (Lorenz)'!$G$46:$G$56</c:f>
              <c:numCache>
                <c:formatCode>0.00%</c:formatCode>
                <c:ptCount val="11"/>
                <c:pt idx="0">
                  <c:v>0</c:v>
                </c:pt>
                <c:pt idx="1">
                  <c:v>3.7010582010582008E-2</c:v>
                </c:pt>
                <c:pt idx="2">
                  <c:v>8.9153439153439151E-2</c:v>
                </c:pt>
                <c:pt idx="3">
                  <c:v>0.15194444444444444</c:v>
                </c:pt>
                <c:pt idx="4">
                  <c:v>0.23170634920634919</c:v>
                </c:pt>
                <c:pt idx="5">
                  <c:v>0.32126984126984126</c:v>
                </c:pt>
                <c:pt idx="6">
                  <c:v>0.42853174603174604</c:v>
                </c:pt>
                <c:pt idx="7">
                  <c:v>0.54720899470899476</c:v>
                </c:pt>
                <c:pt idx="8">
                  <c:v>0.68714285714285717</c:v>
                </c:pt>
                <c:pt idx="9">
                  <c:v>0.83628306878306879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{"Concentration curve"}</c15:sqref>
                        </c15:formulaRef>
                      </c:ext>
                    </c:extLst>
                    <c:strCache>
                      <c:ptCount val="1"/>
                      <c:pt idx="0">
                        <c:v>Concentration curve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166-4E98-B84C-83C0169E8A82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'Grouping (Lorenz)'!$F$46:$F$56</c:f>
              <c:numCache>
                <c:formatCode>0.00%</c:formatCode>
                <c:ptCount val="11"/>
                <c:pt idx="0">
                  <c:v>0</c:v>
                </c:pt>
                <c:pt idx="1">
                  <c:v>9.8290598290598288E-2</c:v>
                </c:pt>
                <c:pt idx="2">
                  <c:v>0.20085470085470086</c:v>
                </c:pt>
                <c:pt idx="3">
                  <c:v>0.29914529914529914</c:v>
                </c:pt>
                <c:pt idx="4">
                  <c:v>0.40170940170940173</c:v>
                </c:pt>
                <c:pt idx="5">
                  <c:v>0.5</c:v>
                </c:pt>
                <c:pt idx="6">
                  <c:v>0.60256410256410253</c:v>
                </c:pt>
                <c:pt idx="7">
                  <c:v>0.70085470085470081</c:v>
                </c:pt>
                <c:pt idx="8">
                  <c:v>0.80341880341880334</c:v>
                </c:pt>
                <c:pt idx="9">
                  <c:v>0.90170940170940161</c:v>
                </c:pt>
                <c:pt idx="10">
                  <c:v>0.99999999999999989</c:v>
                </c:pt>
              </c:numCache>
            </c:numRef>
          </c:xVal>
          <c:yVal>
            <c:numRef>
              <c:f>'Grouping (Lorenz)'!$F$46:$F$56</c:f>
              <c:numCache>
                <c:formatCode>0.00%</c:formatCode>
                <c:ptCount val="11"/>
                <c:pt idx="0">
                  <c:v>0</c:v>
                </c:pt>
                <c:pt idx="1">
                  <c:v>9.8290598290598288E-2</c:v>
                </c:pt>
                <c:pt idx="2">
                  <c:v>0.20085470085470086</c:v>
                </c:pt>
                <c:pt idx="3">
                  <c:v>0.29914529914529914</c:v>
                </c:pt>
                <c:pt idx="4">
                  <c:v>0.40170940170940173</c:v>
                </c:pt>
                <c:pt idx="5">
                  <c:v>0.5</c:v>
                </c:pt>
                <c:pt idx="6">
                  <c:v>0.60256410256410253</c:v>
                </c:pt>
                <c:pt idx="7">
                  <c:v>0.70085470085470081</c:v>
                </c:pt>
                <c:pt idx="8">
                  <c:v>0.80341880341880334</c:v>
                </c:pt>
                <c:pt idx="9">
                  <c:v>0.90170940170940161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{"Equality line"}</c15:sqref>
                        </c15:formulaRef>
                      </c:ext>
                    </c:extLst>
                    <c:strCache>
                      <c:ptCount val="1"/>
                      <c:pt idx="0">
                        <c:v>Equality line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166-4E98-B84C-83C0169E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076807"/>
        <c:axId val="1746306056"/>
      </c:scatterChart>
      <c:valAx>
        <c:axId val="214407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06056"/>
        <c:crosses val="autoZero"/>
        <c:crossBetween val="midCat"/>
      </c:valAx>
      <c:valAx>
        <c:axId val="17463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76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'Grouping (Lorenz)'!$F$62:$F$72</c:f>
              <c:numCache>
                <c:formatCode>0.00%</c:formatCode>
                <c:ptCount val="11"/>
                <c:pt idx="0">
                  <c:v>0</c:v>
                </c:pt>
                <c:pt idx="1">
                  <c:v>9.9567099567099568E-2</c:v>
                </c:pt>
                <c:pt idx="2">
                  <c:v>0.19913419913419914</c:v>
                </c:pt>
                <c:pt idx="3">
                  <c:v>0.29870129870129869</c:v>
                </c:pt>
                <c:pt idx="4">
                  <c:v>0.39826839826839827</c:v>
                </c:pt>
                <c:pt idx="5">
                  <c:v>0.50216450216450215</c:v>
                </c:pt>
                <c:pt idx="6">
                  <c:v>0.60173160173160167</c:v>
                </c:pt>
                <c:pt idx="7">
                  <c:v>0.7012987012987012</c:v>
                </c:pt>
                <c:pt idx="8">
                  <c:v>0.80086580086580073</c:v>
                </c:pt>
                <c:pt idx="9">
                  <c:v>0.90043290043290025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(Lorenz)'!$G$62:$G$72</c:f>
              <c:numCache>
                <c:formatCode>0.00%</c:formatCode>
                <c:ptCount val="11"/>
                <c:pt idx="0">
                  <c:v>0</c:v>
                </c:pt>
                <c:pt idx="1">
                  <c:v>7.4687515238203592E-2</c:v>
                </c:pt>
                <c:pt idx="2">
                  <c:v>0.15477138631081058</c:v>
                </c:pt>
                <c:pt idx="3">
                  <c:v>0.23947683522151608</c:v>
                </c:pt>
                <c:pt idx="4">
                  <c:v>0.32974118080501058</c:v>
                </c:pt>
                <c:pt idx="5">
                  <c:v>0.43086867242061233</c:v>
                </c:pt>
                <c:pt idx="6">
                  <c:v>0.53318271215642932</c:v>
                </c:pt>
                <c:pt idx="7">
                  <c:v>0.64136989418591428</c:v>
                </c:pt>
                <c:pt idx="8">
                  <c:v>0.75473671093195505</c:v>
                </c:pt>
                <c:pt idx="9">
                  <c:v>0.87438302206762786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{"Concentration curve"}</c15:sqref>
                        </c15:formulaRef>
                      </c:ext>
                    </c:extLst>
                    <c:strCache>
                      <c:ptCount val="1"/>
                      <c:pt idx="0">
                        <c:v>Concentration curve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018-453F-83AC-91607D86F215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'Grouping (Lorenz)'!$F$62:$F$72</c:f>
              <c:numCache>
                <c:formatCode>0.00%</c:formatCode>
                <c:ptCount val="11"/>
                <c:pt idx="0">
                  <c:v>0</c:v>
                </c:pt>
                <c:pt idx="1">
                  <c:v>9.9567099567099568E-2</c:v>
                </c:pt>
                <c:pt idx="2">
                  <c:v>0.19913419913419914</c:v>
                </c:pt>
                <c:pt idx="3">
                  <c:v>0.29870129870129869</c:v>
                </c:pt>
                <c:pt idx="4">
                  <c:v>0.39826839826839827</c:v>
                </c:pt>
                <c:pt idx="5">
                  <c:v>0.50216450216450215</c:v>
                </c:pt>
                <c:pt idx="6">
                  <c:v>0.60173160173160167</c:v>
                </c:pt>
                <c:pt idx="7">
                  <c:v>0.7012987012987012</c:v>
                </c:pt>
                <c:pt idx="8">
                  <c:v>0.80086580086580073</c:v>
                </c:pt>
                <c:pt idx="9">
                  <c:v>0.90043290043290025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(Lorenz)'!$F$62:$F$72</c:f>
              <c:numCache>
                <c:formatCode>0.00%</c:formatCode>
                <c:ptCount val="11"/>
                <c:pt idx="0">
                  <c:v>0</c:v>
                </c:pt>
                <c:pt idx="1">
                  <c:v>9.9567099567099568E-2</c:v>
                </c:pt>
                <c:pt idx="2">
                  <c:v>0.19913419913419914</c:v>
                </c:pt>
                <c:pt idx="3">
                  <c:v>0.29870129870129869</c:v>
                </c:pt>
                <c:pt idx="4">
                  <c:v>0.39826839826839827</c:v>
                </c:pt>
                <c:pt idx="5">
                  <c:v>0.50216450216450215</c:v>
                </c:pt>
                <c:pt idx="6">
                  <c:v>0.60173160173160167</c:v>
                </c:pt>
                <c:pt idx="7">
                  <c:v>0.7012987012987012</c:v>
                </c:pt>
                <c:pt idx="8">
                  <c:v>0.80086580086580073</c:v>
                </c:pt>
                <c:pt idx="9">
                  <c:v>0.90043290043290025</c:v>
                </c:pt>
                <c:pt idx="10">
                  <c:v>0.99999999999999978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{"Equality line"}</c15:sqref>
                        </c15:formulaRef>
                      </c:ext>
                    </c:extLst>
                    <c:strCache>
                      <c:ptCount val="1"/>
                      <c:pt idx="0">
                        <c:v>Equality line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6018-453F-83AC-91607D8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076807"/>
        <c:axId val="1746306056"/>
      </c:scatterChart>
      <c:valAx>
        <c:axId val="214407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06056"/>
        <c:crosses val="autoZero"/>
        <c:crossBetween val="midCat"/>
      </c:valAx>
      <c:valAx>
        <c:axId val="17463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76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'Grouping (Lorenz)'!$F$78:$F$88</c:f>
              <c:numCache>
                <c:formatCode>0.00%</c:formatCode>
                <c:ptCount val="11"/>
                <c:pt idx="0">
                  <c:v>0</c:v>
                </c:pt>
                <c:pt idx="1">
                  <c:v>9.6899224806201556E-2</c:v>
                </c:pt>
                <c:pt idx="2">
                  <c:v>0.19767441860465118</c:v>
                </c:pt>
                <c:pt idx="3">
                  <c:v>0.29844961240310081</c:v>
                </c:pt>
                <c:pt idx="4">
                  <c:v>0.39922480620155043</c:v>
                </c:pt>
                <c:pt idx="5">
                  <c:v>0.5</c:v>
                </c:pt>
                <c:pt idx="6">
                  <c:v>0.60077519379844957</c:v>
                </c:pt>
                <c:pt idx="7">
                  <c:v>0.70155038759689914</c:v>
                </c:pt>
                <c:pt idx="8">
                  <c:v>0.80232558139534871</c:v>
                </c:pt>
                <c:pt idx="9">
                  <c:v>0.90310077519379828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(Lorenz)'!$G$78:$G$88</c:f>
              <c:numCache>
                <c:formatCode>0.00%</c:formatCode>
                <c:ptCount val="11"/>
                <c:pt idx="0">
                  <c:v>0</c:v>
                </c:pt>
                <c:pt idx="1">
                  <c:v>8.0646545383219734E-2</c:v>
                </c:pt>
                <c:pt idx="2">
                  <c:v>0.16775057617810032</c:v>
                </c:pt>
                <c:pt idx="3">
                  <c:v>0.25887865934389254</c:v>
                </c:pt>
                <c:pt idx="4">
                  <c:v>0.35416564507429021</c:v>
                </c:pt>
                <c:pt idx="5">
                  <c:v>0.45336635119894081</c:v>
                </c:pt>
                <c:pt idx="6">
                  <c:v>0.55612526357083314</c:v>
                </c:pt>
                <c:pt idx="7">
                  <c:v>0.66267224047467266</c:v>
                </c:pt>
                <c:pt idx="8">
                  <c:v>0.77291227381944783</c:v>
                </c:pt>
                <c:pt idx="9">
                  <c:v>0.88685149315941747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{"Concentration curve"}</c15:sqref>
                        </c15:formulaRef>
                      </c:ext>
                    </c:extLst>
                    <c:strCache>
                      <c:ptCount val="1"/>
                      <c:pt idx="0">
                        <c:v>Concentration curve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46A-4755-B87B-DC634B97CE3D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'Grouping (Lorenz)'!$F$78:$F$88</c:f>
              <c:numCache>
                <c:formatCode>0.00%</c:formatCode>
                <c:ptCount val="11"/>
                <c:pt idx="0">
                  <c:v>0</c:v>
                </c:pt>
                <c:pt idx="1">
                  <c:v>9.6899224806201556E-2</c:v>
                </c:pt>
                <c:pt idx="2">
                  <c:v>0.19767441860465118</c:v>
                </c:pt>
                <c:pt idx="3">
                  <c:v>0.29844961240310081</c:v>
                </c:pt>
                <c:pt idx="4">
                  <c:v>0.39922480620155043</c:v>
                </c:pt>
                <c:pt idx="5">
                  <c:v>0.5</c:v>
                </c:pt>
                <c:pt idx="6">
                  <c:v>0.60077519379844957</c:v>
                </c:pt>
                <c:pt idx="7">
                  <c:v>0.70155038759689914</c:v>
                </c:pt>
                <c:pt idx="8">
                  <c:v>0.80232558139534871</c:v>
                </c:pt>
                <c:pt idx="9">
                  <c:v>0.90310077519379828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(Lorenz)'!$F$78:$F$88</c:f>
              <c:numCache>
                <c:formatCode>0.00%</c:formatCode>
                <c:ptCount val="11"/>
                <c:pt idx="0">
                  <c:v>0</c:v>
                </c:pt>
                <c:pt idx="1">
                  <c:v>9.6899224806201556E-2</c:v>
                </c:pt>
                <c:pt idx="2">
                  <c:v>0.19767441860465118</c:v>
                </c:pt>
                <c:pt idx="3">
                  <c:v>0.29844961240310081</c:v>
                </c:pt>
                <c:pt idx="4">
                  <c:v>0.39922480620155043</c:v>
                </c:pt>
                <c:pt idx="5">
                  <c:v>0.5</c:v>
                </c:pt>
                <c:pt idx="6">
                  <c:v>0.60077519379844957</c:v>
                </c:pt>
                <c:pt idx="7">
                  <c:v>0.70155038759689914</c:v>
                </c:pt>
                <c:pt idx="8">
                  <c:v>0.80232558139534871</c:v>
                </c:pt>
                <c:pt idx="9">
                  <c:v>0.90310077519379828</c:v>
                </c:pt>
                <c:pt idx="10">
                  <c:v>0.99999999999999978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{"Equality line"}</c15:sqref>
                        </c15:formulaRef>
                      </c:ext>
                    </c:extLst>
                    <c:strCache>
                      <c:ptCount val="1"/>
                      <c:pt idx="0">
                        <c:v>Equality line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46A-4755-B87B-DC634B97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076807"/>
        <c:axId val="1746306056"/>
      </c:scatterChart>
      <c:valAx>
        <c:axId val="2144076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306056"/>
        <c:crosses val="autoZero"/>
        <c:crossBetween val="midCat"/>
      </c:valAx>
      <c:valAx>
        <c:axId val="17463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76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Unite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'Grouping (Lorenz)'!$F$46:$F$56</c:f>
              <c:numCache>
                <c:formatCode>0.00%</c:formatCode>
                <c:ptCount val="11"/>
                <c:pt idx="0">
                  <c:v>0</c:v>
                </c:pt>
                <c:pt idx="1">
                  <c:v>9.8290598290598288E-2</c:v>
                </c:pt>
                <c:pt idx="2">
                  <c:v>0.20085470085470086</c:v>
                </c:pt>
                <c:pt idx="3">
                  <c:v>0.29914529914529914</c:v>
                </c:pt>
                <c:pt idx="4">
                  <c:v>0.40170940170940173</c:v>
                </c:pt>
                <c:pt idx="5">
                  <c:v>0.5</c:v>
                </c:pt>
                <c:pt idx="6">
                  <c:v>0.60256410256410253</c:v>
                </c:pt>
                <c:pt idx="7">
                  <c:v>0.70085470085470081</c:v>
                </c:pt>
                <c:pt idx="8">
                  <c:v>0.80341880341880334</c:v>
                </c:pt>
                <c:pt idx="9">
                  <c:v>0.90170940170940161</c:v>
                </c:pt>
                <c:pt idx="10">
                  <c:v>0.99999999999999989</c:v>
                </c:pt>
              </c:numCache>
            </c:numRef>
          </c:xVal>
          <c:yVal>
            <c:numRef>
              <c:f>'Grouping (Lorenz)'!$G$46:$G$56</c:f>
              <c:numCache>
                <c:formatCode>0.00%</c:formatCode>
                <c:ptCount val="11"/>
                <c:pt idx="0">
                  <c:v>0</c:v>
                </c:pt>
                <c:pt idx="1">
                  <c:v>3.7010582010582008E-2</c:v>
                </c:pt>
                <c:pt idx="2">
                  <c:v>8.9153439153439151E-2</c:v>
                </c:pt>
                <c:pt idx="3">
                  <c:v>0.15194444444444444</c:v>
                </c:pt>
                <c:pt idx="4">
                  <c:v>0.23170634920634919</c:v>
                </c:pt>
                <c:pt idx="5">
                  <c:v>0.32126984126984126</c:v>
                </c:pt>
                <c:pt idx="6">
                  <c:v>0.42853174603174604</c:v>
                </c:pt>
                <c:pt idx="7">
                  <c:v>0.54720899470899476</c:v>
                </c:pt>
                <c:pt idx="8">
                  <c:v>0.68714285714285717</c:v>
                </c:pt>
                <c:pt idx="9">
                  <c:v>0.83628306878306879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{"Cheap"}</c15:sqref>
                        </c15:formulaRef>
                      </c:ext>
                    </c:extLst>
                    <c:strCache>
                      <c:ptCount val="1"/>
                      <c:pt idx="0">
                        <c:v>Cheap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7DD4-43CF-8F05-68F3D842E421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'Grouping (Lorenz)'!$F$62:$F$72</c:f>
              <c:numCache>
                <c:formatCode>0.00%</c:formatCode>
                <c:ptCount val="11"/>
                <c:pt idx="0">
                  <c:v>0</c:v>
                </c:pt>
                <c:pt idx="1">
                  <c:v>9.9567099567099568E-2</c:v>
                </c:pt>
                <c:pt idx="2">
                  <c:v>0.19913419913419914</c:v>
                </c:pt>
                <c:pt idx="3">
                  <c:v>0.29870129870129869</c:v>
                </c:pt>
                <c:pt idx="4">
                  <c:v>0.39826839826839827</c:v>
                </c:pt>
                <c:pt idx="5">
                  <c:v>0.50216450216450215</c:v>
                </c:pt>
                <c:pt idx="6">
                  <c:v>0.60173160173160167</c:v>
                </c:pt>
                <c:pt idx="7">
                  <c:v>0.7012987012987012</c:v>
                </c:pt>
                <c:pt idx="8">
                  <c:v>0.80086580086580073</c:v>
                </c:pt>
                <c:pt idx="9">
                  <c:v>0.90043290043290025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(Lorenz)'!$G$62:$G$72</c:f>
              <c:numCache>
                <c:formatCode>0.00%</c:formatCode>
                <c:ptCount val="11"/>
                <c:pt idx="0">
                  <c:v>0</c:v>
                </c:pt>
                <c:pt idx="1">
                  <c:v>7.4687515238203592E-2</c:v>
                </c:pt>
                <c:pt idx="2">
                  <c:v>0.15477138631081058</c:v>
                </c:pt>
                <c:pt idx="3">
                  <c:v>0.23947683522151608</c:v>
                </c:pt>
                <c:pt idx="4">
                  <c:v>0.32974118080501058</c:v>
                </c:pt>
                <c:pt idx="5">
                  <c:v>0.43086867242061233</c:v>
                </c:pt>
                <c:pt idx="6">
                  <c:v>0.53318271215642932</c:v>
                </c:pt>
                <c:pt idx="7">
                  <c:v>0.64136989418591428</c:v>
                </c:pt>
                <c:pt idx="8">
                  <c:v>0.75473671093195505</c:v>
                </c:pt>
                <c:pt idx="9">
                  <c:v>0.87438302206762786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{"Medium"}</c15:sqref>
                        </c15:formulaRef>
                      </c:ext>
                    </c:extLst>
                    <c:strCache>
                      <c:ptCount val="1"/>
                      <c:pt idx="0">
                        <c:v>Medium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7DD4-43CF-8F05-68F3D842E421}"/>
            </c:ext>
          </c:extLst>
        </c:ser>
        <c:ser>
          <c:idx val="2"/>
          <c:order val="2"/>
          <c:spPr>
            <a:ln w="19050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xVal>
            <c:numRef>
              <c:f>'Grouping (Lorenz)'!$F$78:$F$88</c:f>
              <c:numCache>
                <c:formatCode>0.00%</c:formatCode>
                <c:ptCount val="11"/>
                <c:pt idx="0">
                  <c:v>0</c:v>
                </c:pt>
                <c:pt idx="1">
                  <c:v>9.6899224806201556E-2</c:v>
                </c:pt>
                <c:pt idx="2">
                  <c:v>0.19767441860465118</c:v>
                </c:pt>
                <c:pt idx="3">
                  <c:v>0.29844961240310081</c:v>
                </c:pt>
                <c:pt idx="4">
                  <c:v>0.39922480620155043</c:v>
                </c:pt>
                <c:pt idx="5">
                  <c:v>0.5</c:v>
                </c:pt>
                <c:pt idx="6">
                  <c:v>0.60077519379844957</c:v>
                </c:pt>
                <c:pt idx="7">
                  <c:v>0.70155038759689914</c:v>
                </c:pt>
                <c:pt idx="8">
                  <c:v>0.80232558139534871</c:v>
                </c:pt>
                <c:pt idx="9">
                  <c:v>0.90310077519379828</c:v>
                </c:pt>
                <c:pt idx="10">
                  <c:v>0.99999999999999978</c:v>
                </c:pt>
              </c:numCache>
            </c:numRef>
          </c:xVal>
          <c:yVal>
            <c:numRef>
              <c:f>'Grouping (Lorenz)'!$G$78:$G$88</c:f>
              <c:numCache>
                <c:formatCode>0.00%</c:formatCode>
                <c:ptCount val="11"/>
                <c:pt idx="0">
                  <c:v>0</c:v>
                </c:pt>
                <c:pt idx="1">
                  <c:v>8.0646545383219734E-2</c:v>
                </c:pt>
                <c:pt idx="2">
                  <c:v>0.16775057617810032</c:v>
                </c:pt>
                <c:pt idx="3">
                  <c:v>0.25887865934389254</c:v>
                </c:pt>
                <c:pt idx="4">
                  <c:v>0.35416564507429021</c:v>
                </c:pt>
                <c:pt idx="5">
                  <c:v>0.45336635119894081</c:v>
                </c:pt>
                <c:pt idx="6">
                  <c:v>0.55612526357083314</c:v>
                </c:pt>
                <c:pt idx="7">
                  <c:v>0.66267224047467266</c:v>
                </c:pt>
                <c:pt idx="8">
                  <c:v>0.77291227381944783</c:v>
                </c:pt>
                <c:pt idx="9">
                  <c:v>0.88685149315941747</c:v>
                </c:pt>
                <c:pt idx="10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{"Expensive"}</c15:sqref>
                        </c15:formulaRef>
                      </c:ext>
                    </c:extLst>
                    <c:strCache>
                      <c:ptCount val="1"/>
                      <c:pt idx="0">
                        <c:v>Expensive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7DD4-43CF-8F05-68F3D842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245511"/>
        <c:axId val="2012251655"/>
      </c:scatterChart>
      <c:valAx>
        <c:axId val="2012245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51655"/>
        <c:crosses val="autoZero"/>
        <c:crossBetween val="midCat"/>
      </c:valAx>
      <c:valAx>
        <c:axId val="20122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45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Prices Box-Plot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Prices Box-Plot</a:t>
          </a:r>
        </a:p>
      </cx:txPr>
    </cx:title>
    <cx:plotArea>
      <cx:plotAreaRegion>
        <cx:series layoutId="boxWhisker" uniqueId="{00000000-4A8B-42BB-835D-E44313ADAACF}">
          <cx:tx>
            <cx:txData>
              <cx:f>_xlchart.v1.0</cx:f>
              <cx:v>price_usd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Storage_gb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Storage_gb</a:t>
          </a:r>
        </a:p>
      </cx:txPr>
    </cx:title>
    <cx:plotArea>
      <cx:plotAreaRegion>
        <cx:series layoutId="boxWhisker" uniqueId="{39451D79-BDED-4B1B-B90B-EA9A74201DB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Camera_mp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Camera_mp</a:t>
          </a:r>
        </a:p>
      </cx:txPr>
    </cx:title>
    <cx:plotArea>
      <cx:plotAreaRegion>
        <cx:series layoutId="boxWhisker" uniqueId="{041BADE4-6271-42DB-91D9-B1422374849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Battery_mah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Battery_mah</a:t>
          </a:r>
        </a:p>
      </cx:txPr>
    </cx:title>
    <cx:plotArea>
      <cx:plotAreaRegion>
        <cx:series layoutId="boxWhisker" uniqueId="{685CF85E-70A3-4A16-B5F7-2EF6074CE81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Display_size_inch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Display_size_inch</a:t>
          </a:r>
        </a:p>
      </cx:txPr>
    </cx:title>
    <cx:plotArea>
      <cx:plotAreaRegion>
        <cx:series layoutId="boxWhisker" uniqueId="{0BA0AEFA-71B2-4250-95FF-D678592EE16E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600075</xdr:colOff>
      <xdr:row>3</xdr:row>
      <xdr:rowOff>0</xdr:rowOff>
    </xdr:from>
    <xdr:to>
      <xdr:col>33</xdr:col>
      <xdr:colOff>295275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29646-B847-5E16-2085-A2AEF6E11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9525</xdr:colOff>
      <xdr:row>19</xdr:row>
      <xdr:rowOff>19050</xdr:rowOff>
    </xdr:from>
    <xdr:to>
      <xdr:col>33</xdr:col>
      <xdr:colOff>314325</xdr:colOff>
      <xdr:row>33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7DB8725-DF7C-B5AF-634A-C4E0BCA80970}"/>
                </a:ext>
                <a:ext uri="{147F2762-F138-4A5C-976F-8EAC2B608ADB}">
                  <a16:predDERef xmlns:a16="http://schemas.microsoft.com/office/drawing/2014/main" pred="{53729646-B847-5E16-2085-A2AEF6E113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00945" y="3348990"/>
              <a:ext cx="4572000" cy="2668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123825</xdr:colOff>
      <xdr:row>19</xdr:row>
      <xdr:rowOff>47625</xdr:rowOff>
    </xdr:from>
    <xdr:to>
      <xdr:col>25</xdr:col>
      <xdr:colOff>466725</xdr:colOff>
      <xdr:row>32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262FC16-0BE5-E023-7117-3BC0CE042937}"/>
            </a:ext>
            <a:ext uri="{147F2762-F138-4A5C-976F-8EAC2B608ADB}">
              <a16:predDERef xmlns:a16="http://schemas.microsoft.com/office/drawing/2014/main" pred="{07DB8725-DF7C-B5AF-634A-C4E0BCA80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43</xdr:row>
      <xdr:rowOff>180975</xdr:rowOff>
    </xdr:from>
    <xdr:to>
      <xdr:col>12</xdr:col>
      <xdr:colOff>933450</xdr:colOff>
      <xdr:row>58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40D16-DB5C-FFFF-5381-BE4CF2A8A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60</xdr:row>
      <xdr:rowOff>0</xdr:rowOff>
    </xdr:from>
    <xdr:to>
      <xdr:col>12</xdr:col>
      <xdr:colOff>933450</xdr:colOff>
      <xdr:row>74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61DCEE-0236-4BC1-8066-29A03B23AB16}"/>
            </a:ext>
            <a:ext uri="{147F2762-F138-4A5C-976F-8EAC2B608ADB}">
              <a16:predDERef xmlns:a16="http://schemas.microsoft.com/office/drawing/2014/main" pred="{E2F40D16-DB5C-FFFF-5381-BE4CF2A8A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666750</xdr:colOff>
      <xdr:row>76</xdr:row>
      <xdr:rowOff>0</xdr:rowOff>
    </xdr:from>
    <xdr:to>
      <xdr:col>12</xdr:col>
      <xdr:colOff>933450</xdr:colOff>
      <xdr:row>90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DC25D0-5394-4418-98ED-EFFFE415C8AB}"/>
            </a:ext>
            <a:ext uri="{147F2762-F138-4A5C-976F-8EAC2B608ADB}">
              <a16:predDERef xmlns:a16="http://schemas.microsoft.com/office/drawing/2014/main" pred="{3061DCEE-0236-4BC1-8066-29A03B23A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657225</xdr:colOff>
      <xdr:row>91</xdr:row>
      <xdr:rowOff>9525</xdr:rowOff>
    </xdr:from>
    <xdr:to>
      <xdr:col>12</xdr:col>
      <xdr:colOff>923925</xdr:colOff>
      <xdr:row>105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24E8C2-8D7E-4C7E-E826-8E27E4AC6623}"/>
            </a:ext>
            <a:ext uri="{147F2762-F138-4A5C-976F-8EAC2B608ADB}">
              <a16:predDERef xmlns:a16="http://schemas.microsoft.com/office/drawing/2014/main" pred="{98DC25D0-5394-4418-98ED-EFFFE415C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80010</xdr:rowOff>
    </xdr:from>
    <xdr:to>
      <xdr:col>12</xdr:col>
      <xdr:colOff>289560</xdr:colOff>
      <xdr:row>15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D58374E-9925-CE84-62D8-C05A11E8BC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8220" y="800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586740</xdr:colOff>
      <xdr:row>15</xdr:row>
      <xdr:rowOff>179070</xdr:rowOff>
    </xdr:from>
    <xdr:to>
      <xdr:col>12</xdr:col>
      <xdr:colOff>281940</xdr:colOff>
      <xdr:row>30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DF668A9-FCAF-B7AB-5C71-38F9652A68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922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15240</xdr:colOff>
      <xdr:row>31</xdr:row>
      <xdr:rowOff>148590</xdr:rowOff>
    </xdr:from>
    <xdr:to>
      <xdr:col>12</xdr:col>
      <xdr:colOff>320040</xdr:colOff>
      <xdr:row>46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DC1099F-397C-DCDC-2448-3825B847DB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8700" y="5817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47</xdr:row>
      <xdr:rowOff>118110</xdr:rowOff>
    </xdr:from>
    <xdr:to>
      <xdr:col>12</xdr:col>
      <xdr:colOff>304800</xdr:colOff>
      <xdr:row>62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134B627-7718-149A-63FB-53705AC8F8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3460" y="87134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8.583991087966" createdVersion="8" refreshedVersion="8" minRefreshableVersion="3" recordCount="1000" xr:uid="{624C6482-EEE1-4AB6-8EAA-FFC01CD35CDF}">
  <cacheSource type="worksheet">
    <worksheetSource ref="B1:C1001" sheet="Grouping (Lorenz)"/>
  </cacheSource>
  <cacheFields count="2">
    <cacheField name="price_usd" numFmtId="0">
      <sharedItems containsSemiMixedTypes="0" containsString="0" containsNumber="1" containsInteger="1" minValue="101" maxValue="1499" count="723">
        <n v="126"/>
        <n v="139"/>
        <n v="151"/>
        <n v="154"/>
        <n v="164"/>
        <n v="168"/>
        <n v="170"/>
        <n v="183"/>
        <n v="186"/>
        <n v="225"/>
        <n v="259"/>
        <n v="266"/>
        <n v="275"/>
        <n v="335"/>
        <n v="336"/>
        <n v="348"/>
        <n v="356"/>
        <n v="367"/>
        <n v="377"/>
        <n v="383"/>
        <n v="405"/>
        <n v="436"/>
        <n v="442"/>
        <n v="445"/>
        <n v="479"/>
        <n v="492"/>
        <n v="497"/>
        <n v="506"/>
        <n v="528"/>
        <n v="545"/>
        <n v="121"/>
        <n v="122"/>
        <n v="131"/>
        <n v="134"/>
        <n v="138"/>
        <n v="141"/>
        <n v="187"/>
        <n v="188"/>
        <n v="202"/>
        <n v="204"/>
        <n v="227"/>
        <n v="253"/>
        <n v="290"/>
        <n v="313"/>
        <n v="316"/>
        <n v="355"/>
        <n v="358"/>
        <n v="373"/>
        <n v="402"/>
        <n v="406"/>
        <n v="419"/>
        <n v="429"/>
        <n v="447"/>
        <n v="464"/>
        <n v="469"/>
        <n v="474"/>
        <n v="476"/>
        <n v="491"/>
        <n v="501"/>
        <n v="515"/>
        <n v="520"/>
        <n v="531"/>
        <n v="538"/>
        <n v="109"/>
        <n v="136"/>
        <n v="182"/>
        <n v="184"/>
        <n v="189"/>
        <n v="192"/>
        <n v="263"/>
        <n v="270"/>
        <n v="282"/>
        <n v="284"/>
        <n v="297"/>
        <n v="298"/>
        <n v="318"/>
        <n v="359"/>
        <n v="378"/>
        <n v="404"/>
        <n v="413"/>
        <n v="418"/>
        <n v="465"/>
        <n v="473"/>
        <n v="508"/>
        <n v="513"/>
        <n v="529"/>
        <n v="533"/>
        <n v="548"/>
        <n v="551"/>
        <n v="554"/>
        <n v="567"/>
        <n v="118"/>
        <n v="119"/>
        <n v="127"/>
        <n v="135"/>
        <n v="137"/>
        <n v="147"/>
        <n v="148"/>
        <n v="158"/>
        <n v="163"/>
        <n v="232"/>
        <n v="245"/>
        <n v="255"/>
        <n v="262"/>
        <n v="279"/>
        <n v="291"/>
        <n v="299"/>
        <n v="304"/>
        <n v="310"/>
        <n v="325"/>
        <n v="327"/>
        <n v="342"/>
        <n v="437"/>
        <n v="440"/>
        <n v="450"/>
        <n v="463"/>
        <n v="475"/>
        <n v="523"/>
        <n v="547"/>
        <n v="102"/>
        <n v="107"/>
        <n v="166"/>
        <n v="178"/>
        <n v="179"/>
        <n v="197"/>
        <n v="209"/>
        <n v="224"/>
        <n v="238"/>
        <n v="258"/>
        <n v="289"/>
        <n v="319"/>
        <n v="350"/>
        <n v="386"/>
        <n v="391"/>
        <n v="410"/>
        <n v="435"/>
        <n v="444"/>
        <n v="521"/>
        <n v="544"/>
        <n v="101"/>
        <n v="110"/>
        <n v="111"/>
        <n v="112"/>
        <n v="175"/>
        <n v="208"/>
        <n v="212"/>
        <n v="213"/>
        <n v="221"/>
        <n v="231"/>
        <n v="234"/>
        <n v="236"/>
        <n v="246"/>
        <n v="256"/>
        <n v="264"/>
        <n v="287"/>
        <n v="292"/>
        <n v="311"/>
        <n v="317"/>
        <n v="343"/>
        <n v="360"/>
        <n v="361"/>
        <n v="408"/>
        <n v="417"/>
        <n v="423"/>
        <n v="471"/>
        <n v="486"/>
        <n v="502"/>
        <n v="532"/>
        <n v="543"/>
        <n v="142"/>
        <n v="165"/>
        <n v="167"/>
        <n v="176"/>
        <n v="218"/>
        <n v="230"/>
        <n v="247"/>
        <n v="278"/>
        <n v="281"/>
        <n v="329"/>
        <n v="349"/>
        <n v="375"/>
        <n v="385"/>
        <n v="400"/>
        <n v="439"/>
        <n v="443"/>
        <n v="462"/>
        <n v="482"/>
        <n v="514"/>
        <n v="540"/>
        <n v="128"/>
        <n v="161"/>
        <n v="181"/>
        <n v="205"/>
        <n v="210"/>
        <n v="223"/>
        <n v="271"/>
        <n v="288"/>
        <n v="300"/>
        <n v="307"/>
        <n v="312"/>
        <n v="314"/>
        <n v="344"/>
        <n v="363"/>
        <n v="371"/>
        <n v="389"/>
        <n v="394"/>
        <n v="412"/>
        <n v="416"/>
        <n v="427"/>
        <n v="467"/>
        <n v="488"/>
        <n v="498"/>
        <n v="503"/>
        <n v="510"/>
        <n v="537"/>
        <n v="546"/>
        <n v="105"/>
        <n v="130"/>
        <n v="152"/>
        <n v="171"/>
        <n v="193"/>
        <n v="235"/>
        <n v="239"/>
        <n v="241"/>
        <n v="254"/>
        <n v="277"/>
        <n v="302"/>
        <n v="320"/>
        <n v="328"/>
        <n v="380"/>
        <n v="458"/>
        <n v="460"/>
        <n v="525"/>
        <n v="560"/>
        <n v="1043"/>
        <n v="1058"/>
        <n v="1077"/>
        <n v="1083"/>
        <n v="1087"/>
        <n v="1100"/>
        <n v="1109"/>
        <n v="1127"/>
        <n v="1129"/>
        <n v="1138"/>
        <n v="1163"/>
        <n v="1182"/>
        <n v="1186"/>
        <n v="1188"/>
        <n v="1204"/>
        <n v="1210"/>
        <n v="1233"/>
        <n v="1273"/>
        <n v="1275"/>
        <n v="1284"/>
        <n v="1286"/>
        <n v="1291"/>
        <n v="1302"/>
        <n v="1316"/>
        <n v="1326"/>
        <n v="1342"/>
        <n v="1369"/>
        <n v="1371"/>
        <n v="1386"/>
        <n v="1403"/>
        <n v="1417"/>
        <n v="1433"/>
        <n v="1441"/>
        <n v="1447"/>
        <n v="1460"/>
        <n v="1466"/>
        <n v="1467"/>
        <n v="1477"/>
        <n v="1068"/>
        <n v="1074"/>
        <n v="1080"/>
        <n v="1098"/>
        <n v="1103"/>
        <n v="1107"/>
        <n v="1119"/>
        <n v="1139"/>
        <n v="1143"/>
        <n v="1149"/>
        <n v="1164"/>
        <n v="1190"/>
        <n v="1209"/>
        <n v="1224"/>
        <n v="1230"/>
        <n v="1256"/>
        <n v="1278"/>
        <n v="1293"/>
        <n v="1300"/>
        <n v="1320"/>
        <n v="1321"/>
        <n v="1337"/>
        <n v="1340"/>
        <n v="1350"/>
        <n v="1357"/>
        <n v="1373"/>
        <n v="1375"/>
        <n v="1392"/>
        <n v="1397"/>
        <n v="1406"/>
        <n v="1426"/>
        <n v="1427"/>
        <n v="1437"/>
        <n v="1458"/>
        <n v="1480"/>
        <n v="1065"/>
        <n v="1088"/>
        <n v="1090"/>
        <n v="1111"/>
        <n v="1116"/>
        <n v="1132"/>
        <n v="1166"/>
        <n v="1167"/>
        <n v="1170"/>
        <n v="1221"/>
        <n v="1222"/>
        <n v="1223"/>
        <n v="1241"/>
        <n v="1257"/>
        <n v="1258"/>
        <n v="1267"/>
        <n v="1276"/>
        <n v="1292"/>
        <n v="1294"/>
        <n v="1354"/>
        <n v="1367"/>
        <n v="1384"/>
        <n v="1394"/>
        <n v="1410"/>
        <n v="1430"/>
        <n v="1435"/>
        <n v="1464"/>
        <n v="1470"/>
        <n v="1485"/>
        <n v="1047"/>
        <n v="1053"/>
        <n v="1060"/>
        <n v="1061"/>
        <n v="1064"/>
        <n v="1121"/>
        <n v="1187"/>
        <n v="1234"/>
        <n v="1238"/>
        <n v="1269"/>
        <n v="1274"/>
        <n v="1279"/>
        <n v="1283"/>
        <n v="1298"/>
        <n v="1303"/>
        <n v="1317"/>
        <n v="1356"/>
        <n v="1365"/>
        <n v="1398"/>
        <n v="1405"/>
        <n v="1409"/>
        <n v="1413"/>
        <n v="1414"/>
        <n v="1425"/>
        <n v="1446"/>
        <n v="1450"/>
        <n v="1461"/>
        <n v="1462"/>
        <n v="1471"/>
        <n v="1483"/>
        <n v="1497"/>
        <n v="1040"/>
        <n v="1050"/>
        <n v="1059"/>
        <n v="1075"/>
        <n v="1085"/>
        <n v="1124"/>
        <n v="1131"/>
        <n v="1141"/>
        <n v="1185"/>
        <n v="1225"/>
        <n v="1249"/>
        <n v="1250"/>
        <n v="1261"/>
        <n v="1282"/>
        <n v="1285"/>
        <n v="1301"/>
        <n v="1322"/>
        <n v="1346"/>
        <n v="1348"/>
        <n v="1391"/>
        <n v="1399"/>
        <n v="1432"/>
        <n v="1444"/>
        <n v="1451"/>
        <n v="1478"/>
        <n v="1479"/>
        <n v="1492"/>
        <n v="1498"/>
        <n v="1034"/>
        <n v="1042"/>
        <n v="1044"/>
        <n v="1072"/>
        <n v="1078"/>
        <n v="1106"/>
        <n v="1122"/>
        <n v="1147"/>
        <n v="1150"/>
        <n v="1154"/>
        <n v="1181"/>
        <n v="1192"/>
        <n v="1211"/>
        <n v="1229"/>
        <n v="1251"/>
        <n v="1271"/>
        <n v="1296"/>
        <n v="1332"/>
        <n v="1334"/>
        <n v="1351"/>
        <n v="1379"/>
        <n v="1385"/>
        <n v="1404"/>
        <n v="1420"/>
        <n v="1045"/>
        <n v="1049"/>
        <n v="1052"/>
        <n v="1084"/>
        <n v="1093"/>
        <n v="1095"/>
        <n v="1137"/>
        <n v="1160"/>
        <n v="1171"/>
        <n v="1189"/>
        <n v="1199"/>
        <n v="1215"/>
        <n v="1247"/>
        <n v="1252"/>
        <n v="1288"/>
        <n v="1339"/>
        <n v="1343"/>
        <n v="1349"/>
        <n v="1360"/>
        <n v="1368"/>
        <n v="1381"/>
        <n v="1400"/>
        <n v="1436"/>
        <n v="1465"/>
        <n v="1048"/>
        <n v="1069"/>
        <n v="1118"/>
        <n v="1146"/>
        <n v="1159"/>
        <n v="1161"/>
        <n v="1165"/>
        <n v="1178"/>
        <n v="1206"/>
        <n v="1218"/>
        <n v="1220"/>
        <n v="1235"/>
        <n v="1315"/>
        <n v="1325"/>
        <n v="1328"/>
        <n v="1331"/>
        <n v="1345"/>
        <n v="1387"/>
        <n v="1429"/>
        <n v="1455"/>
        <n v="1486"/>
        <n v="1495"/>
        <n v="1499"/>
        <n v="1038"/>
        <n v="1039"/>
        <n v="1057"/>
        <n v="1062"/>
        <n v="1067"/>
        <n v="1079"/>
        <n v="1094"/>
        <n v="1126"/>
        <n v="1140"/>
        <n v="1194"/>
        <n v="1196"/>
        <n v="1231"/>
        <n v="1236"/>
        <n v="1246"/>
        <n v="1255"/>
        <n v="1277"/>
        <n v="1295"/>
        <n v="1309"/>
        <n v="1336"/>
        <n v="1363"/>
        <n v="1374"/>
        <n v="1408"/>
        <n v="1442"/>
        <n v="1449"/>
        <n v="1475"/>
        <n v="1496"/>
        <n v="579"/>
        <n v="582"/>
        <n v="602"/>
        <n v="625"/>
        <n v="628"/>
        <n v="633"/>
        <n v="646"/>
        <n v="661"/>
        <n v="703"/>
        <n v="706"/>
        <n v="715"/>
        <n v="727"/>
        <n v="731"/>
        <n v="736"/>
        <n v="761"/>
        <n v="768"/>
        <n v="790"/>
        <n v="604"/>
        <n v="607"/>
        <n v="653"/>
        <n v="658"/>
        <n v="660"/>
        <n v="662"/>
        <n v="664"/>
        <n v="670"/>
        <n v="684"/>
        <n v="707"/>
        <n v="709"/>
        <n v="718"/>
        <n v="726"/>
        <n v="777"/>
        <n v="788"/>
        <n v="789"/>
        <n v="586"/>
        <n v="596"/>
        <n v="613"/>
        <n v="627"/>
        <n v="637"/>
        <n v="639"/>
        <n v="650"/>
        <n v="666"/>
        <n v="688"/>
        <n v="689"/>
        <n v="724"/>
        <n v="732"/>
        <n v="738"/>
        <n v="743"/>
        <n v="773"/>
        <n v="600"/>
        <n v="609"/>
        <n v="610"/>
        <n v="642"/>
        <n v="644"/>
        <n v="648"/>
        <n v="665"/>
        <n v="679"/>
        <n v="698"/>
        <n v="701"/>
        <n v="702"/>
        <n v="721"/>
        <n v="581"/>
        <n v="584"/>
        <n v="635"/>
        <n v="672"/>
        <n v="681"/>
        <n v="682"/>
        <n v="691"/>
        <n v="695"/>
        <n v="711"/>
        <n v="717"/>
        <n v="730"/>
        <n v="760"/>
        <n v="770"/>
        <n v="785"/>
        <n v="618"/>
        <n v="629"/>
        <n v="631"/>
        <n v="634"/>
        <n v="714"/>
        <n v="723"/>
        <n v="752"/>
        <n v="779"/>
        <n v="568"/>
        <n v="573"/>
        <n v="626"/>
        <n v="638"/>
        <n v="645"/>
        <n v="655"/>
        <n v="656"/>
        <n v="693"/>
        <n v="699"/>
        <n v="729"/>
        <n v="748"/>
        <n v="753"/>
        <n v="769"/>
        <n v="774"/>
        <n v="792"/>
        <n v="611"/>
        <n v="622"/>
        <n v="640"/>
        <n v="654"/>
        <n v="674"/>
        <n v="776"/>
        <n v="577"/>
        <n v="585"/>
        <n v="636"/>
        <n v="651"/>
        <n v="657"/>
        <n v="754"/>
        <n v="758"/>
        <n v="781"/>
        <n v="787"/>
        <n v="817"/>
        <n v="818"/>
        <n v="824"/>
        <n v="853"/>
        <n v="868"/>
        <n v="873"/>
        <n v="918"/>
        <n v="919"/>
        <n v="922"/>
        <n v="933"/>
        <n v="937"/>
        <n v="993"/>
        <n v="1005"/>
        <n v="1014"/>
        <n v="1020"/>
        <n v="820"/>
        <n v="821"/>
        <n v="825"/>
        <n v="883"/>
        <n v="889"/>
        <n v="890"/>
        <n v="892"/>
        <n v="920"/>
        <n v="947"/>
        <n v="951"/>
        <n v="952"/>
        <n v="961"/>
        <n v="966"/>
        <n v="968"/>
        <n v="969"/>
        <n v="980"/>
        <n v="983"/>
        <n v="994"/>
        <n v="1019"/>
        <n v="814"/>
        <n v="836"/>
        <n v="840"/>
        <n v="851"/>
        <n v="852"/>
        <n v="858"/>
        <n v="881"/>
        <n v="882"/>
        <n v="885"/>
        <n v="910"/>
        <n v="1007"/>
        <n v="1012"/>
        <n v="1021"/>
        <n v="1032"/>
        <n v="830"/>
        <n v="833"/>
        <n v="845"/>
        <n v="848"/>
        <n v="850"/>
        <n v="876"/>
        <n v="897"/>
        <n v="898"/>
        <n v="901"/>
        <n v="909"/>
        <n v="923"/>
        <n v="926"/>
        <n v="928"/>
        <n v="938"/>
        <n v="975"/>
        <n v="1022"/>
        <n v="1033"/>
        <n v="855"/>
        <n v="875"/>
        <n v="880"/>
        <n v="884"/>
        <n v="888"/>
        <n v="930"/>
        <n v="948"/>
        <n v="953"/>
        <n v="1004"/>
        <n v="1008"/>
        <n v="1025"/>
        <n v="827"/>
        <n v="834"/>
        <n v="835"/>
        <n v="857"/>
        <n v="895"/>
        <n v="896"/>
        <n v="939"/>
        <n v="941"/>
        <n v="957"/>
        <n v="984"/>
        <n v="1003"/>
        <n v="815"/>
        <n v="837"/>
        <n v="886"/>
        <n v="894"/>
        <n v="899"/>
        <n v="900"/>
        <n v="917"/>
        <n v="979"/>
        <n v="986"/>
        <n v="987"/>
        <n v="991"/>
        <n v="992"/>
        <n v="823"/>
        <n v="849"/>
        <n v="913"/>
        <n v="981"/>
        <n v="1009"/>
        <n v="1011"/>
        <n v="927"/>
        <n v="963"/>
        <n v="978"/>
        <n v="997"/>
        <n v="799"/>
        <n v="808"/>
        <n v="795"/>
        <n v="804"/>
        <n v="809"/>
        <n v="793"/>
        <n v="811"/>
        <n v="794"/>
        <n v="800"/>
        <n v="803"/>
      </sharedItems>
    </cacheField>
    <cacheField name="price_category" numFmtId="0">
      <sharedItems count="3">
        <s v="Cheap"/>
        <s v="Higher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16"/>
    <x v="0"/>
  </r>
  <r>
    <x v="46"/>
    <x v="0"/>
  </r>
  <r>
    <x v="47"/>
    <x v="0"/>
  </r>
  <r>
    <x v="19"/>
    <x v="0"/>
  </r>
  <r>
    <x v="48"/>
    <x v="0"/>
  </r>
  <r>
    <x v="49"/>
    <x v="0"/>
  </r>
  <r>
    <x v="50"/>
    <x v="0"/>
  </r>
  <r>
    <x v="51"/>
    <x v="0"/>
  </r>
  <r>
    <x v="23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28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51"/>
    <x v="0"/>
  </r>
  <r>
    <x v="53"/>
    <x v="0"/>
  </r>
  <r>
    <x v="81"/>
    <x v="0"/>
  </r>
  <r>
    <x v="82"/>
    <x v="0"/>
  </r>
  <r>
    <x v="83"/>
    <x v="0"/>
  </r>
  <r>
    <x v="84"/>
    <x v="0"/>
  </r>
  <r>
    <x v="59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2"/>
    <x v="0"/>
  </r>
  <r>
    <x v="98"/>
    <x v="0"/>
  </r>
  <r>
    <x v="99"/>
    <x v="0"/>
  </r>
  <r>
    <x v="5"/>
    <x v="0"/>
  </r>
  <r>
    <x v="66"/>
    <x v="0"/>
  </r>
  <r>
    <x v="100"/>
    <x v="0"/>
  </r>
  <r>
    <x v="101"/>
    <x v="0"/>
  </r>
  <r>
    <x v="102"/>
    <x v="0"/>
  </r>
  <r>
    <x v="103"/>
    <x v="0"/>
  </r>
  <r>
    <x v="70"/>
    <x v="0"/>
  </r>
  <r>
    <x v="104"/>
    <x v="0"/>
  </r>
  <r>
    <x v="105"/>
    <x v="0"/>
  </r>
  <r>
    <x v="106"/>
    <x v="0"/>
  </r>
  <r>
    <x v="107"/>
    <x v="0"/>
  </r>
  <r>
    <x v="107"/>
    <x v="0"/>
  </r>
  <r>
    <x v="108"/>
    <x v="0"/>
  </r>
  <r>
    <x v="109"/>
    <x v="0"/>
  </r>
  <r>
    <x v="110"/>
    <x v="0"/>
  </r>
  <r>
    <x v="111"/>
    <x v="0"/>
  </r>
  <r>
    <x v="51"/>
    <x v="0"/>
  </r>
  <r>
    <x v="112"/>
    <x v="0"/>
  </r>
  <r>
    <x v="113"/>
    <x v="0"/>
  </r>
  <r>
    <x v="114"/>
    <x v="0"/>
  </r>
  <r>
    <x v="115"/>
    <x v="0"/>
  </r>
  <r>
    <x v="116"/>
    <x v="0"/>
  </r>
  <r>
    <x v="57"/>
    <x v="0"/>
  </r>
  <r>
    <x v="83"/>
    <x v="0"/>
  </r>
  <r>
    <x v="117"/>
    <x v="0"/>
  </r>
  <r>
    <x v="118"/>
    <x v="0"/>
  </r>
  <r>
    <x v="119"/>
    <x v="0"/>
  </r>
  <r>
    <x v="120"/>
    <x v="0"/>
  </r>
  <r>
    <x v="91"/>
    <x v="0"/>
  </r>
  <r>
    <x v="91"/>
    <x v="0"/>
  </r>
  <r>
    <x v="94"/>
    <x v="0"/>
  </r>
  <r>
    <x v="35"/>
    <x v="0"/>
  </r>
  <r>
    <x v="121"/>
    <x v="0"/>
  </r>
  <r>
    <x v="121"/>
    <x v="0"/>
  </r>
  <r>
    <x v="122"/>
    <x v="0"/>
  </r>
  <r>
    <x v="123"/>
    <x v="0"/>
  </r>
  <r>
    <x v="8"/>
    <x v="0"/>
  </r>
  <r>
    <x v="37"/>
    <x v="0"/>
  </r>
  <r>
    <x v="124"/>
    <x v="0"/>
  </r>
  <r>
    <x v="38"/>
    <x v="0"/>
  </r>
  <r>
    <x v="125"/>
    <x v="0"/>
  </r>
  <r>
    <x v="126"/>
    <x v="0"/>
  </r>
  <r>
    <x v="127"/>
    <x v="0"/>
  </r>
  <r>
    <x v="128"/>
    <x v="0"/>
  </r>
  <r>
    <x v="129"/>
    <x v="0"/>
  </r>
  <r>
    <x v="44"/>
    <x v="0"/>
  </r>
  <r>
    <x v="130"/>
    <x v="0"/>
  </r>
  <r>
    <x v="131"/>
    <x v="0"/>
  </r>
  <r>
    <x v="132"/>
    <x v="0"/>
  </r>
  <r>
    <x v="133"/>
    <x v="0"/>
  </r>
  <r>
    <x v="134"/>
    <x v="0"/>
  </r>
  <r>
    <x v="79"/>
    <x v="0"/>
  </r>
  <r>
    <x v="135"/>
    <x v="0"/>
  </r>
  <r>
    <x v="136"/>
    <x v="0"/>
  </r>
  <r>
    <x v="25"/>
    <x v="0"/>
  </r>
  <r>
    <x v="58"/>
    <x v="0"/>
  </r>
  <r>
    <x v="137"/>
    <x v="0"/>
  </r>
  <r>
    <x v="138"/>
    <x v="0"/>
  </r>
  <r>
    <x v="29"/>
    <x v="0"/>
  </r>
  <r>
    <x v="90"/>
    <x v="0"/>
  </r>
  <r>
    <x v="139"/>
    <x v="0"/>
  </r>
  <r>
    <x v="140"/>
    <x v="0"/>
  </r>
  <r>
    <x v="141"/>
    <x v="0"/>
  </r>
  <r>
    <x v="142"/>
    <x v="0"/>
  </r>
  <r>
    <x v="143"/>
    <x v="0"/>
  </r>
  <r>
    <x v="12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74"/>
    <x v="0"/>
  </r>
  <r>
    <x v="156"/>
    <x v="0"/>
  </r>
  <r>
    <x v="157"/>
    <x v="0"/>
  </r>
  <r>
    <x v="111"/>
    <x v="0"/>
  </r>
  <r>
    <x v="111"/>
    <x v="0"/>
  </r>
  <r>
    <x v="158"/>
    <x v="0"/>
  </r>
  <r>
    <x v="159"/>
    <x v="0"/>
  </r>
  <r>
    <x v="160"/>
    <x v="0"/>
  </r>
  <r>
    <x v="161"/>
    <x v="0"/>
  </r>
  <r>
    <x v="134"/>
    <x v="0"/>
  </r>
  <r>
    <x v="162"/>
    <x v="0"/>
  </r>
  <r>
    <x v="163"/>
    <x v="0"/>
  </r>
  <r>
    <x v="112"/>
    <x v="0"/>
  </r>
  <r>
    <x v="164"/>
    <x v="0"/>
  </r>
  <r>
    <x v="165"/>
    <x v="0"/>
  </r>
  <r>
    <x v="166"/>
    <x v="0"/>
  </r>
  <r>
    <x v="166"/>
    <x v="0"/>
  </r>
  <r>
    <x v="167"/>
    <x v="0"/>
  </r>
  <r>
    <x v="62"/>
    <x v="0"/>
  </r>
  <r>
    <x v="168"/>
    <x v="0"/>
  </r>
  <r>
    <x v="169"/>
    <x v="0"/>
  </r>
  <r>
    <x v="170"/>
    <x v="0"/>
  </r>
  <r>
    <x v="171"/>
    <x v="0"/>
  </r>
  <r>
    <x v="172"/>
    <x v="0"/>
  </r>
  <r>
    <x v="123"/>
    <x v="0"/>
  </r>
  <r>
    <x v="173"/>
    <x v="0"/>
  </r>
  <r>
    <x v="174"/>
    <x v="0"/>
  </r>
  <r>
    <x v="174"/>
    <x v="0"/>
  </r>
  <r>
    <x v="127"/>
    <x v="0"/>
  </r>
  <r>
    <x v="175"/>
    <x v="0"/>
  </r>
  <r>
    <x v="102"/>
    <x v="0"/>
  </r>
  <r>
    <x v="176"/>
    <x v="0"/>
  </r>
  <r>
    <x v="177"/>
    <x v="0"/>
  </r>
  <r>
    <x v="107"/>
    <x v="0"/>
  </r>
  <r>
    <x v="156"/>
    <x v="0"/>
  </r>
  <r>
    <x v="44"/>
    <x v="0"/>
  </r>
  <r>
    <x v="178"/>
    <x v="0"/>
  </r>
  <r>
    <x v="13"/>
    <x v="0"/>
  </r>
  <r>
    <x v="179"/>
    <x v="0"/>
  </r>
  <r>
    <x v="45"/>
    <x v="0"/>
  </r>
  <r>
    <x v="16"/>
    <x v="0"/>
  </r>
  <r>
    <x v="180"/>
    <x v="0"/>
  </r>
  <r>
    <x v="181"/>
    <x v="0"/>
  </r>
  <r>
    <x v="133"/>
    <x v="0"/>
  </r>
  <r>
    <x v="182"/>
    <x v="0"/>
  </r>
  <r>
    <x v="50"/>
    <x v="0"/>
  </r>
  <r>
    <x v="183"/>
    <x v="0"/>
  </r>
  <r>
    <x v="184"/>
    <x v="0"/>
  </r>
  <r>
    <x v="52"/>
    <x v="0"/>
  </r>
  <r>
    <x v="185"/>
    <x v="0"/>
  </r>
  <r>
    <x v="186"/>
    <x v="0"/>
  </r>
  <r>
    <x v="187"/>
    <x v="0"/>
  </r>
  <r>
    <x v="188"/>
    <x v="0"/>
  </r>
  <r>
    <x v="188"/>
    <x v="0"/>
  </r>
  <r>
    <x v="142"/>
    <x v="0"/>
  </r>
  <r>
    <x v="0"/>
    <x v="0"/>
  </r>
  <r>
    <x v="0"/>
    <x v="0"/>
  </r>
  <r>
    <x v="189"/>
    <x v="0"/>
  </r>
  <r>
    <x v="2"/>
    <x v="0"/>
  </r>
  <r>
    <x v="190"/>
    <x v="0"/>
  </r>
  <r>
    <x v="121"/>
    <x v="0"/>
  </r>
  <r>
    <x v="191"/>
    <x v="0"/>
  </r>
  <r>
    <x v="67"/>
    <x v="0"/>
  </r>
  <r>
    <x v="192"/>
    <x v="0"/>
  </r>
  <r>
    <x v="193"/>
    <x v="0"/>
  </r>
  <r>
    <x v="193"/>
    <x v="0"/>
  </r>
  <r>
    <x v="194"/>
    <x v="0"/>
  </r>
  <r>
    <x v="148"/>
    <x v="0"/>
  </r>
  <r>
    <x v="151"/>
    <x v="0"/>
  </r>
  <r>
    <x v="195"/>
    <x v="0"/>
  </r>
  <r>
    <x v="196"/>
    <x v="0"/>
  </r>
  <r>
    <x v="197"/>
    <x v="0"/>
  </r>
  <r>
    <x v="198"/>
    <x v="0"/>
  </r>
  <r>
    <x v="199"/>
    <x v="0"/>
  </r>
  <r>
    <x v="43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78"/>
    <x v="0"/>
  </r>
  <r>
    <x v="134"/>
    <x v="0"/>
  </r>
  <r>
    <x v="206"/>
    <x v="0"/>
  </r>
  <r>
    <x v="207"/>
    <x v="0"/>
  </r>
  <r>
    <x v="208"/>
    <x v="0"/>
  </r>
  <r>
    <x v="112"/>
    <x v="0"/>
  </r>
  <r>
    <x v="209"/>
    <x v="0"/>
  </r>
  <r>
    <x v="209"/>
    <x v="0"/>
  </r>
  <r>
    <x v="82"/>
    <x v="0"/>
  </r>
  <r>
    <x v="210"/>
    <x v="0"/>
  </r>
  <r>
    <x v="26"/>
    <x v="0"/>
  </r>
  <r>
    <x v="211"/>
    <x v="0"/>
  </r>
  <r>
    <x v="212"/>
    <x v="0"/>
  </r>
  <r>
    <x v="213"/>
    <x v="0"/>
  </r>
  <r>
    <x v="214"/>
    <x v="0"/>
  </r>
  <r>
    <x v="138"/>
    <x v="0"/>
  </r>
  <r>
    <x v="215"/>
    <x v="0"/>
  </r>
  <r>
    <x v="216"/>
    <x v="0"/>
  </r>
  <r>
    <x v="142"/>
    <x v="0"/>
  </r>
  <r>
    <x v="217"/>
    <x v="0"/>
  </r>
  <r>
    <x v="218"/>
    <x v="0"/>
  </r>
  <r>
    <x v="3"/>
    <x v="0"/>
  </r>
  <r>
    <x v="171"/>
    <x v="0"/>
  </r>
  <r>
    <x v="219"/>
    <x v="0"/>
  </r>
  <r>
    <x v="65"/>
    <x v="0"/>
  </r>
  <r>
    <x v="220"/>
    <x v="0"/>
  </r>
  <r>
    <x v="174"/>
    <x v="0"/>
  </r>
  <r>
    <x v="221"/>
    <x v="0"/>
  </r>
  <r>
    <x v="127"/>
    <x v="0"/>
  </r>
  <r>
    <x v="222"/>
    <x v="0"/>
  </r>
  <r>
    <x v="223"/>
    <x v="0"/>
  </r>
  <r>
    <x v="175"/>
    <x v="0"/>
  </r>
  <r>
    <x v="224"/>
    <x v="0"/>
  </r>
  <r>
    <x v="152"/>
    <x v="0"/>
  </r>
  <r>
    <x v="128"/>
    <x v="0"/>
  </r>
  <r>
    <x v="225"/>
    <x v="0"/>
  </r>
  <r>
    <x v="226"/>
    <x v="0"/>
  </r>
  <r>
    <x v="43"/>
    <x v="0"/>
  </r>
  <r>
    <x v="227"/>
    <x v="0"/>
  </r>
  <r>
    <x v="228"/>
    <x v="0"/>
  </r>
  <r>
    <x v="111"/>
    <x v="0"/>
  </r>
  <r>
    <x v="131"/>
    <x v="0"/>
  </r>
  <r>
    <x v="18"/>
    <x v="0"/>
  </r>
  <r>
    <x v="229"/>
    <x v="0"/>
  </r>
  <r>
    <x v="183"/>
    <x v="0"/>
  </r>
  <r>
    <x v="114"/>
    <x v="0"/>
  </r>
  <r>
    <x v="230"/>
    <x v="0"/>
  </r>
  <r>
    <x v="231"/>
    <x v="0"/>
  </r>
  <r>
    <x v="164"/>
    <x v="0"/>
  </r>
  <r>
    <x v="56"/>
    <x v="0"/>
  </r>
  <r>
    <x v="137"/>
    <x v="0"/>
  </r>
  <r>
    <x v="232"/>
    <x v="0"/>
  </r>
  <r>
    <x v="233"/>
    <x v="0"/>
  </r>
  <r>
    <x v="234"/>
    <x v="1"/>
  </r>
  <r>
    <x v="235"/>
    <x v="1"/>
  </r>
  <r>
    <x v="235"/>
    <x v="1"/>
  </r>
  <r>
    <x v="235"/>
    <x v="1"/>
  </r>
  <r>
    <x v="236"/>
    <x v="1"/>
  </r>
  <r>
    <x v="237"/>
    <x v="1"/>
  </r>
  <r>
    <x v="238"/>
    <x v="1"/>
  </r>
  <r>
    <x v="239"/>
    <x v="1"/>
  </r>
  <r>
    <x v="240"/>
    <x v="1"/>
  </r>
  <r>
    <x v="241"/>
    <x v="1"/>
  </r>
  <r>
    <x v="242"/>
    <x v="1"/>
  </r>
  <r>
    <x v="243"/>
    <x v="1"/>
  </r>
  <r>
    <x v="244"/>
    <x v="1"/>
  </r>
  <r>
    <x v="244"/>
    <x v="1"/>
  </r>
  <r>
    <x v="244"/>
    <x v="1"/>
  </r>
  <r>
    <x v="245"/>
    <x v="1"/>
  </r>
  <r>
    <x v="246"/>
    <x v="1"/>
  </r>
  <r>
    <x v="247"/>
    <x v="1"/>
  </r>
  <r>
    <x v="248"/>
    <x v="1"/>
  </r>
  <r>
    <x v="249"/>
    <x v="1"/>
  </r>
  <r>
    <x v="250"/>
    <x v="1"/>
  </r>
  <r>
    <x v="251"/>
    <x v="1"/>
  </r>
  <r>
    <x v="252"/>
    <x v="1"/>
  </r>
  <r>
    <x v="253"/>
    <x v="1"/>
  </r>
  <r>
    <x v="254"/>
    <x v="1"/>
  </r>
  <r>
    <x v="255"/>
    <x v="1"/>
  </r>
  <r>
    <x v="256"/>
    <x v="1"/>
  </r>
  <r>
    <x v="257"/>
    <x v="1"/>
  </r>
  <r>
    <x v="258"/>
    <x v="1"/>
  </r>
  <r>
    <x v="259"/>
    <x v="1"/>
  </r>
  <r>
    <x v="260"/>
    <x v="1"/>
  </r>
  <r>
    <x v="261"/>
    <x v="1"/>
  </r>
  <r>
    <x v="262"/>
    <x v="1"/>
  </r>
  <r>
    <x v="263"/>
    <x v="1"/>
  </r>
  <r>
    <x v="264"/>
    <x v="1"/>
  </r>
  <r>
    <x v="265"/>
    <x v="1"/>
  </r>
  <r>
    <x v="266"/>
    <x v="1"/>
  </r>
  <r>
    <x v="267"/>
    <x v="1"/>
  </r>
  <r>
    <x v="268"/>
    <x v="1"/>
  </r>
  <r>
    <x v="269"/>
    <x v="1"/>
  </r>
  <r>
    <x v="270"/>
    <x v="1"/>
  </r>
  <r>
    <x v="271"/>
    <x v="1"/>
  </r>
  <r>
    <x v="272"/>
    <x v="1"/>
  </r>
  <r>
    <x v="273"/>
    <x v="1"/>
  </r>
  <r>
    <x v="274"/>
    <x v="1"/>
  </r>
  <r>
    <x v="275"/>
    <x v="1"/>
  </r>
  <r>
    <x v="239"/>
    <x v="1"/>
  </r>
  <r>
    <x v="276"/>
    <x v="1"/>
  </r>
  <r>
    <x v="277"/>
    <x v="1"/>
  </r>
  <r>
    <x v="278"/>
    <x v="1"/>
  </r>
  <r>
    <x v="241"/>
    <x v="1"/>
  </r>
  <r>
    <x v="242"/>
    <x v="1"/>
  </r>
  <r>
    <x v="279"/>
    <x v="1"/>
  </r>
  <r>
    <x v="280"/>
    <x v="1"/>
  </r>
  <r>
    <x v="281"/>
    <x v="1"/>
  </r>
  <r>
    <x v="282"/>
    <x v="1"/>
  </r>
  <r>
    <x v="283"/>
    <x v="1"/>
  </r>
  <r>
    <x v="284"/>
    <x v="1"/>
  </r>
  <r>
    <x v="285"/>
    <x v="1"/>
  </r>
  <r>
    <x v="286"/>
    <x v="1"/>
  </r>
  <r>
    <x v="287"/>
    <x v="1"/>
  </r>
  <r>
    <x v="288"/>
    <x v="1"/>
  </r>
  <r>
    <x v="289"/>
    <x v="1"/>
  </r>
  <r>
    <x v="290"/>
    <x v="1"/>
  </r>
  <r>
    <x v="291"/>
    <x v="1"/>
  </r>
  <r>
    <x v="292"/>
    <x v="1"/>
  </r>
  <r>
    <x v="293"/>
    <x v="1"/>
  </r>
  <r>
    <x v="294"/>
    <x v="1"/>
  </r>
  <r>
    <x v="295"/>
    <x v="1"/>
  </r>
  <r>
    <x v="296"/>
    <x v="1"/>
  </r>
  <r>
    <x v="297"/>
    <x v="1"/>
  </r>
  <r>
    <x v="298"/>
    <x v="1"/>
  </r>
  <r>
    <x v="299"/>
    <x v="1"/>
  </r>
  <r>
    <x v="300"/>
    <x v="1"/>
  </r>
  <r>
    <x v="301"/>
    <x v="1"/>
  </r>
  <r>
    <x v="302"/>
    <x v="1"/>
  </r>
  <r>
    <x v="303"/>
    <x v="1"/>
  </r>
  <r>
    <x v="304"/>
    <x v="1"/>
  </r>
  <r>
    <x v="305"/>
    <x v="1"/>
  </r>
  <r>
    <x v="306"/>
    <x v="1"/>
  </r>
  <r>
    <x v="306"/>
    <x v="1"/>
  </r>
  <r>
    <x v="307"/>
    <x v="1"/>
  </r>
  <r>
    <x v="308"/>
    <x v="1"/>
  </r>
  <r>
    <x v="309"/>
    <x v="1"/>
  </r>
  <r>
    <x v="239"/>
    <x v="1"/>
  </r>
  <r>
    <x v="310"/>
    <x v="1"/>
  </r>
  <r>
    <x v="311"/>
    <x v="1"/>
  </r>
  <r>
    <x v="312"/>
    <x v="1"/>
  </r>
  <r>
    <x v="282"/>
    <x v="1"/>
  </r>
  <r>
    <x v="313"/>
    <x v="1"/>
  </r>
  <r>
    <x v="314"/>
    <x v="1"/>
  </r>
  <r>
    <x v="315"/>
    <x v="1"/>
  </r>
  <r>
    <x v="246"/>
    <x v="1"/>
  </r>
  <r>
    <x v="316"/>
    <x v="1"/>
  </r>
  <r>
    <x v="316"/>
    <x v="1"/>
  </r>
  <r>
    <x v="317"/>
    <x v="1"/>
  </r>
  <r>
    <x v="318"/>
    <x v="1"/>
  </r>
  <r>
    <x v="319"/>
    <x v="1"/>
  </r>
  <r>
    <x v="320"/>
    <x v="1"/>
  </r>
  <r>
    <x v="321"/>
    <x v="1"/>
  </r>
  <r>
    <x v="322"/>
    <x v="1"/>
  </r>
  <r>
    <x v="323"/>
    <x v="1"/>
  </r>
  <r>
    <x v="254"/>
    <x v="1"/>
  </r>
  <r>
    <x v="324"/>
    <x v="1"/>
  </r>
  <r>
    <x v="325"/>
    <x v="1"/>
  </r>
  <r>
    <x v="326"/>
    <x v="1"/>
  </r>
  <r>
    <x v="327"/>
    <x v="1"/>
  </r>
  <r>
    <x v="260"/>
    <x v="1"/>
  </r>
  <r>
    <x v="328"/>
    <x v="1"/>
  </r>
  <r>
    <x v="329"/>
    <x v="1"/>
  </r>
  <r>
    <x v="330"/>
    <x v="1"/>
  </r>
  <r>
    <x v="331"/>
    <x v="1"/>
  </r>
  <r>
    <x v="332"/>
    <x v="1"/>
  </r>
  <r>
    <x v="333"/>
    <x v="1"/>
  </r>
  <r>
    <x v="269"/>
    <x v="1"/>
  </r>
  <r>
    <x v="270"/>
    <x v="1"/>
  </r>
  <r>
    <x v="334"/>
    <x v="1"/>
  </r>
  <r>
    <x v="335"/>
    <x v="1"/>
  </r>
  <r>
    <x v="336"/>
    <x v="1"/>
  </r>
  <r>
    <x v="337"/>
    <x v="1"/>
  </r>
  <r>
    <x v="338"/>
    <x v="1"/>
  </r>
  <r>
    <x v="339"/>
    <x v="1"/>
  </r>
  <r>
    <x v="340"/>
    <x v="1"/>
  </r>
  <r>
    <x v="341"/>
    <x v="1"/>
  </r>
  <r>
    <x v="243"/>
    <x v="1"/>
  </r>
  <r>
    <x v="246"/>
    <x v="1"/>
  </r>
  <r>
    <x v="342"/>
    <x v="1"/>
  </r>
  <r>
    <x v="343"/>
    <x v="1"/>
  </r>
  <r>
    <x v="344"/>
    <x v="1"/>
  </r>
  <r>
    <x v="345"/>
    <x v="1"/>
  </r>
  <r>
    <x v="346"/>
    <x v="1"/>
  </r>
  <r>
    <x v="288"/>
    <x v="1"/>
  </r>
  <r>
    <x v="347"/>
    <x v="1"/>
  </r>
  <r>
    <x v="348"/>
    <x v="1"/>
  </r>
  <r>
    <x v="324"/>
    <x v="1"/>
  </r>
  <r>
    <x v="349"/>
    <x v="1"/>
  </r>
  <r>
    <x v="290"/>
    <x v="1"/>
  </r>
  <r>
    <x v="256"/>
    <x v="1"/>
  </r>
  <r>
    <x v="350"/>
    <x v="1"/>
  </r>
  <r>
    <x v="351"/>
    <x v="1"/>
  </r>
  <r>
    <x v="352"/>
    <x v="1"/>
  </r>
  <r>
    <x v="353"/>
    <x v="1"/>
  </r>
  <r>
    <x v="298"/>
    <x v="1"/>
  </r>
  <r>
    <x v="262"/>
    <x v="1"/>
  </r>
  <r>
    <x v="354"/>
    <x v="1"/>
  </r>
  <r>
    <x v="355"/>
    <x v="1"/>
  </r>
  <r>
    <x v="356"/>
    <x v="1"/>
  </r>
  <r>
    <x v="357"/>
    <x v="1"/>
  </r>
  <r>
    <x v="358"/>
    <x v="1"/>
  </r>
  <r>
    <x v="359"/>
    <x v="1"/>
  </r>
  <r>
    <x v="360"/>
    <x v="1"/>
  </r>
  <r>
    <x v="361"/>
    <x v="1"/>
  </r>
  <r>
    <x v="361"/>
    <x v="1"/>
  </r>
  <r>
    <x v="362"/>
    <x v="1"/>
  </r>
  <r>
    <x v="363"/>
    <x v="1"/>
  </r>
  <r>
    <x v="364"/>
    <x v="1"/>
  </r>
  <r>
    <x v="365"/>
    <x v="1"/>
  </r>
  <r>
    <x v="366"/>
    <x v="1"/>
  </r>
  <r>
    <x v="367"/>
    <x v="1"/>
  </r>
  <r>
    <x v="368"/>
    <x v="1"/>
  </r>
  <r>
    <x v="369"/>
    <x v="1"/>
  </r>
  <r>
    <x v="338"/>
    <x v="1"/>
  </r>
  <r>
    <x v="340"/>
    <x v="1"/>
  </r>
  <r>
    <x v="370"/>
    <x v="1"/>
  </r>
  <r>
    <x v="370"/>
    <x v="1"/>
  </r>
  <r>
    <x v="237"/>
    <x v="1"/>
  </r>
  <r>
    <x v="371"/>
    <x v="1"/>
  </r>
  <r>
    <x v="277"/>
    <x v="1"/>
  </r>
  <r>
    <x v="372"/>
    <x v="1"/>
  </r>
  <r>
    <x v="373"/>
    <x v="1"/>
  </r>
  <r>
    <x v="374"/>
    <x v="1"/>
  </r>
  <r>
    <x v="280"/>
    <x v="1"/>
  </r>
  <r>
    <x v="375"/>
    <x v="1"/>
  </r>
  <r>
    <x v="283"/>
    <x v="1"/>
  </r>
  <r>
    <x v="284"/>
    <x v="1"/>
  </r>
  <r>
    <x v="376"/>
    <x v="1"/>
  </r>
  <r>
    <x v="377"/>
    <x v="1"/>
  </r>
  <r>
    <x v="378"/>
    <x v="1"/>
  </r>
  <r>
    <x v="379"/>
    <x v="1"/>
  </r>
  <r>
    <x v="380"/>
    <x v="1"/>
  </r>
  <r>
    <x v="381"/>
    <x v="1"/>
  </r>
  <r>
    <x v="254"/>
    <x v="1"/>
  </r>
  <r>
    <x v="290"/>
    <x v="1"/>
  </r>
  <r>
    <x v="382"/>
    <x v="1"/>
  </r>
  <r>
    <x v="383"/>
    <x v="1"/>
  </r>
  <r>
    <x v="384"/>
    <x v="1"/>
  </r>
  <r>
    <x v="385"/>
    <x v="1"/>
  </r>
  <r>
    <x v="386"/>
    <x v="1"/>
  </r>
  <r>
    <x v="387"/>
    <x v="1"/>
  </r>
  <r>
    <x v="358"/>
    <x v="1"/>
  </r>
  <r>
    <x v="302"/>
    <x v="1"/>
  </r>
  <r>
    <x v="388"/>
    <x v="1"/>
  </r>
  <r>
    <x v="266"/>
    <x v="1"/>
  </r>
  <r>
    <x v="389"/>
    <x v="1"/>
  </r>
  <r>
    <x v="390"/>
    <x v="1"/>
  </r>
  <r>
    <x v="363"/>
    <x v="1"/>
  </r>
  <r>
    <x v="391"/>
    <x v="1"/>
  </r>
  <r>
    <x v="392"/>
    <x v="1"/>
  </r>
  <r>
    <x v="306"/>
    <x v="1"/>
  </r>
  <r>
    <x v="393"/>
    <x v="1"/>
  </r>
  <r>
    <x v="394"/>
    <x v="1"/>
  </r>
  <r>
    <x v="395"/>
    <x v="1"/>
  </r>
  <r>
    <x v="396"/>
    <x v="1"/>
  </r>
  <r>
    <x v="397"/>
    <x v="1"/>
  </r>
  <r>
    <x v="336"/>
    <x v="1"/>
  </r>
  <r>
    <x v="398"/>
    <x v="1"/>
  </r>
  <r>
    <x v="399"/>
    <x v="1"/>
  </r>
  <r>
    <x v="274"/>
    <x v="1"/>
  </r>
  <r>
    <x v="400"/>
    <x v="1"/>
  </r>
  <r>
    <x v="310"/>
    <x v="1"/>
  </r>
  <r>
    <x v="310"/>
    <x v="1"/>
  </r>
  <r>
    <x v="401"/>
    <x v="1"/>
  </r>
  <r>
    <x v="402"/>
    <x v="1"/>
  </r>
  <r>
    <x v="403"/>
    <x v="1"/>
  </r>
  <r>
    <x v="404"/>
    <x v="1"/>
  </r>
  <r>
    <x v="404"/>
    <x v="1"/>
  </r>
  <r>
    <x v="405"/>
    <x v="1"/>
  </r>
  <r>
    <x v="406"/>
    <x v="1"/>
  </r>
  <r>
    <x v="407"/>
    <x v="1"/>
  </r>
  <r>
    <x v="408"/>
    <x v="1"/>
  </r>
  <r>
    <x v="377"/>
    <x v="1"/>
  </r>
  <r>
    <x v="409"/>
    <x v="1"/>
  </r>
  <r>
    <x v="410"/>
    <x v="1"/>
  </r>
  <r>
    <x v="346"/>
    <x v="1"/>
  </r>
  <r>
    <x v="411"/>
    <x v="1"/>
  </r>
  <r>
    <x v="351"/>
    <x v="1"/>
  </r>
  <r>
    <x v="291"/>
    <x v="1"/>
  </r>
  <r>
    <x v="412"/>
    <x v="1"/>
  </r>
  <r>
    <x v="413"/>
    <x v="1"/>
  </r>
  <r>
    <x v="414"/>
    <x v="1"/>
  </r>
  <r>
    <x v="415"/>
    <x v="1"/>
  </r>
  <r>
    <x v="416"/>
    <x v="1"/>
  </r>
  <r>
    <x v="262"/>
    <x v="1"/>
  </r>
  <r>
    <x v="417"/>
    <x v="1"/>
  </r>
  <r>
    <x v="418"/>
    <x v="1"/>
  </r>
  <r>
    <x v="265"/>
    <x v="1"/>
  </r>
  <r>
    <x v="395"/>
    <x v="1"/>
  </r>
  <r>
    <x v="419"/>
    <x v="1"/>
  </r>
  <r>
    <x v="420"/>
    <x v="1"/>
  </r>
  <r>
    <x v="421"/>
    <x v="1"/>
  </r>
  <r>
    <x v="422"/>
    <x v="1"/>
  </r>
  <r>
    <x v="423"/>
    <x v="1"/>
  </r>
  <r>
    <x v="424"/>
    <x v="1"/>
  </r>
  <r>
    <x v="240"/>
    <x v="1"/>
  </r>
  <r>
    <x v="425"/>
    <x v="1"/>
  </r>
  <r>
    <x v="243"/>
    <x v="1"/>
  </r>
  <r>
    <x v="426"/>
    <x v="1"/>
  </r>
  <r>
    <x v="427"/>
    <x v="1"/>
  </r>
  <r>
    <x v="428"/>
    <x v="1"/>
  </r>
  <r>
    <x v="429"/>
    <x v="1"/>
  </r>
  <r>
    <x v="284"/>
    <x v="1"/>
  </r>
  <r>
    <x v="430"/>
    <x v="1"/>
  </r>
  <r>
    <x v="316"/>
    <x v="1"/>
  </r>
  <r>
    <x v="431"/>
    <x v="1"/>
  </r>
  <r>
    <x v="377"/>
    <x v="1"/>
  </r>
  <r>
    <x v="432"/>
    <x v="1"/>
  </r>
  <r>
    <x v="433"/>
    <x v="1"/>
  </r>
  <r>
    <x v="434"/>
    <x v="1"/>
  </r>
  <r>
    <x v="435"/>
    <x v="1"/>
  </r>
  <r>
    <x v="436"/>
    <x v="1"/>
  </r>
  <r>
    <x v="437"/>
    <x v="1"/>
  </r>
  <r>
    <x v="438"/>
    <x v="1"/>
  </r>
  <r>
    <x v="439"/>
    <x v="1"/>
  </r>
  <r>
    <x v="440"/>
    <x v="1"/>
  </r>
  <r>
    <x v="263"/>
    <x v="1"/>
  </r>
  <r>
    <x v="301"/>
    <x v="1"/>
  </r>
  <r>
    <x v="332"/>
    <x v="1"/>
  </r>
  <r>
    <x v="441"/>
    <x v="1"/>
  </r>
  <r>
    <x v="442"/>
    <x v="1"/>
  </r>
  <r>
    <x v="394"/>
    <x v="1"/>
  </r>
  <r>
    <x v="443"/>
    <x v="1"/>
  </r>
  <r>
    <x v="444"/>
    <x v="1"/>
  </r>
  <r>
    <x v="445"/>
    <x v="1"/>
  </r>
  <r>
    <x v="278"/>
    <x v="1"/>
  </r>
  <r>
    <x v="425"/>
    <x v="1"/>
  </r>
  <r>
    <x v="446"/>
    <x v="1"/>
  </r>
  <r>
    <x v="447"/>
    <x v="1"/>
  </r>
  <r>
    <x v="426"/>
    <x v="1"/>
  </r>
  <r>
    <x v="448"/>
    <x v="1"/>
  </r>
  <r>
    <x v="449"/>
    <x v="1"/>
  </r>
  <r>
    <x v="450"/>
    <x v="1"/>
  </r>
  <r>
    <x v="451"/>
    <x v="1"/>
  </r>
  <r>
    <x v="249"/>
    <x v="1"/>
  </r>
  <r>
    <x v="452"/>
    <x v="1"/>
  </r>
  <r>
    <x v="453"/>
    <x v="1"/>
  </r>
  <r>
    <x v="453"/>
    <x v="1"/>
  </r>
  <r>
    <x v="454"/>
    <x v="1"/>
  </r>
  <r>
    <x v="320"/>
    <x v="1"/>
  </r>
  <r>
    <x v="322"/>
    <x v="1"/>
  </r>
  <r>
    <x v="380"/>
    <x v="1"/>
  </r>
  <r>
    <x v="455"/>
    <x v="1"/>
  </r>
  <r>
    <x v="456"/>
    <x v="1"/>
  </r>
  <r>
    <x v="457"/>
    <x v="1"/>
  </r>
  <r>
    <x v="458"/>
    <x v="1"/>
  </r>
  <r>
    <x v="459"/>
    <x v="1"/>
  </r>
  <r>
    <x v="297"/>
    <x v="1"/>
  </r>
  <r>
    <x v="328"/>
    <x v="1"/>
  </r>
  <r>
    <x v="460"/>
    <x v="1"/>
  </r>
  <r>
    <x v="300"/>
    <x v="1"/>
  </r>
  <r>
    <x v="387"/>
    <x v="1"/>
  </r>
  <r>
    <x v="263"/>
    <x v="1"/>
  </r>
  <r>
    <x v="264"/>
    <x v="1"/>
  </r>
  <r>
    <x v="264"/>
    <x v="1"/>
  </r>
  <r>
    <x v="359"/>
    <x v="1"/>
  </r>
  <r>
    <x v="461"/>
    <x v="1"/>
  </r>
  <r>
    <x v="267"/>
    <x v="1"/>
  </r>
  <r>
    <x v="462"/>
    <x v="1"/>
  </r>
  <r>
    <x v="392"/>
    <x v="1"/>
  </r>
  <r>
    <x v="392"/>
    <x v="1"/>
  </r>
  <r>
    <x v="365"/>
    <x v="1"/>
  </r>
  <r>
    <x v="463"/>
    <x v="1"/>
  </r>
  <r>
    <x v="464"/>
    <x v="1"/>
  </r>
  <r>
    <x v="465"/>
    <x v="1"/>
  </r>
  <r>
    <x v="466"/>
    <x v="1"/>
  </r>
  <r>
    <x v="467"/>
    <x v="1"/>
  </r>
  <r>
    <x v="396"/>
    <x v="1"/>
  </r>
  <r>
    <x v="468"/>
    <x v="1"/>
  </r>
  <r>
    <x v="469"/>
    <x v="1"/>
  </r>
  <r>
    <x v="470"/>
    <x v="1"/>
  </r>
  <r>
    <x v="471"/>
    <x v="1"/>
  </r>
  <r>
    <x v="472"/>
    <x v="1"/>
  </r>
  <r>
    <x v="473"/>
    <x v="1"/>
  </r>
  <r>
    <x v="474"/>
    <x v="1"/>
  </r>
  <r>
    <x v="403"/>
    <x v="1"/>
  </r>
  <r>
    <x v="282"/>
    <x v="1"/>
  </r>
  <r>
    <x v="283"/>
    <x v="1"/>
  </r>
  <r>
    <x v="475"/>
    <x v="1"/>
  </r>
  <r>
    <x v="476"/>
    <x v="1"/>
  </r>
  <r>
    <x v="408"/>
    <x v="1"/>
  </r>
  <r>
    <x v="477"/>
    <x v="1"/>
  </r>
  <r>
    <x v="478"/>
    <x v="1"/>
  </r>
  <r>
    <x v="479"/>
    <x v="1"/>
  </r>
  <r>
    <x v="480"/>
    <x v="1"/>
  </r>
  <r>
    <x v="480"/>
    <x v="1"/>
  </r>
  <r>
    <x v="323"/>
    <x v="1"/>
  </r>
  <r>
    <x v="481"/>
    <x v="1"/>
  </r>
  <r>
    <x v="482"/>
    <x v="1"/>
  </r>
  <r>
    <x v="483"/>
    <x v="1"/>
  </r>
  <r>
    <x v="412"/>
    <x v="1"/>
  </r>
  <r>
    <x v="484"/>
    <x v="1"/>
  </r>
  <r>
    <x v="435"/>
    <x v="1"/>
  </r>
  <r>
    <x v="436"/>
    <x v="1"/>
  </r>
  <r>
    <x v="352"/>
    <x v="1"/>
  </r>
  <r>
    <x v="296"/>
    <x v="1"/>
  </r>
  <r>
    <x v="485"/>
    <x v="1"/>
  </r>
  <r>
    <x v="486"/>
    <x v="1"/>
  </r>
  <r>
    <x v="439"/>
    <x v="1"/>
  </r>
  <r>
    <x v="387"/>
    <x v="1"/>
  </r>
  <r>
    <x v="487"/>
    <x v="1"/>
  </r>
  <r>
    <x v="303"/>
    <x v="1"/>
  </r>
  <r>
    <x v="441"/>
    <x v="1"/>
  </r>
  <r>
    <x v="488"/>
    <x v="1"/>
  </r>
  <r>
    <x v="489"/>
    <x v="1"/>
  </r>
  <r>
    <x v="390"/>
    <x v="1"/>
  </r>
  <r>
    <x v="363"/>
    <x v="1"/>
  </r>
  <r>
    <x v="490"/>
    <x v="1"/>
  </r>
  <r>
    <x v="491"/>
    <x v="1"/>
  </r>
  <r>
    <x v="492"/>
    <x v="2"/>
  </r>
  <r>
    <x v="493"/>
    <x v="2"/>
  </r>
  <r>
    <x v="494"/>
    <x v="2"/>
  </r>
  <r>
    <x v="495"/>
    <x v="2"/>
  </r>
  <r>
    <x v="496"/>
    <x v="2"/>
  </r>
  <r>
    <x v="497"/>
    <x v="2"/>
  </r>
  <r>
    <x v="498"/>
    <x v="2"/>
  </r>
  <r>
    <x v="499"/>
    <x v="2"/>
  </r>
  <r>
    <x v="500"/>
    <x v="2"/>
  </r>
  <r>
    <x v="501"/>
    <x v="2"/>
  </r>
  <r>
    <x v="502"/>
    <x v="2"/>
  </r>
  <r>
    <x v="502"/>
    <x v="2"/>
  </r>
  <r>
    <x v="503"/>
    <x v="2"/>
  </r>
  <r>
    <x v="503"/>
    <x v="2"/>
  </r>
  <r>
    <x v="504"/>
    <x v="2"/>
  </r>
  <r>
    <x v="505"/>
    <x v="2"/>
  </r>
  <r>
    <x v="506"/>
    <x v="2"/>
  </r>
  <r>
    <x v="507"/>
    <x v="2"/>
  </r>
  <r>
    <x v="508"/>
    <x v="2"/>
  </r>
  <r>
    <x v="509"/>
    <x v="2"/>
  </r>
  <r>
    <x v="510"/>
    <x v="2"/>
  </r>
  <r>
    <x v="511"/>
    <x v="2"/>
  </r>
  <r>
    <x v="512"/>
    <x v="2"/>
  </r>
  <r>
    <x v="513"/>
    <x v="2"/>
  </r>
  <r>
    <x v="514"/>
    <x v="2"/>
  </r>
  <r>
    <x v="515"/>
    <x v="2"/>
  </r>
  <r>
    <x v="516"/>
    <x v="2"/>
  </r>
  <r>
    <x v="517"/>
    <x v="2"/>
  </r>
  <r>
    <x v="518"/>
    <x v="2"/>
  </r>
  <r>
    <x v="519"/>
    <x v="2"/>
  </r>
  <r>
    <x v="520"/>
    <x v="2"/>
  </r>
  <r>
    <x v="521"/>
    <x v="2"/>
  </r>
  <r>
    <x v="506"/>
    <x v="2"/>
  </r>
  <r>
    <x v="522"/>
    <x v="2"/>
  </r>
  <r>
    <x v="523"/>
    <x v="2"/>
  </r>
  <r>
    <x v="524"/>
    <x v="2"/>
  </r>
  <r>
    <x v="525"/>
    <x v="2"/>
  </r>
  <r>
    <x v="526"/>
    <x v="2"/>
  </r>
  <r>
    <x v="527"/>
    <x v="2"/>
  </r>
  <r>
    <x v="528"/>
    <x v="2"/>
  </r>
  <r>
    <x v="529"/>
    <x v="2"/>
  </r>
  <r>
    <x v="530"/>
    <x v="2"/>
  </r>
  <r>
    <x v="498"/>
    <x v="2"/>
  </r>
  <r>
    <x v="531"/>
    <x v="2"/>
  </r>
  <r>
    <x v="532"/>
    <x v="2"/>
  </r>
  <r>
    <x v="533"/>
    <x v="2"/>
  </r>
  <r>
    <x v="534"/>
    <x v="2"/>
  </r>
  <r>
    <x v="535"/>
    <x v="2"/>
  </r>
  <r>
    <x v="536"/>
    <x v="2"/>
  </r>
  <r>
    <x v="505"/>
    <x v="2"/>
  </r>
  <r>
    <x v="537"/>
    <x v="2"/>
  </r>
  <r>
    <x v="538"/>
    <x v="2"/>
  </r>
  <r>
    <x v="507"/>
    <x v="2"/>
  </r>
  <r>
    <x v="539"/>
    <x v="2"/>
  </r>
  <r>
    <x v="522"/>
    <x v="2"/>
  </r>
  <r>
    <x v="540"/>
    <x v="2"/>
  </r>
  <r>
    <x v="541"/>
    <x v="2"/>
  </r>
  <r>
    <x v="542"/>
    <x v="2"/>
  </r>
  <r>
    <x v="528"/>
    <x v="2"/>
  </r>
  <r>
    <x v="496"/>
    <x v="2"/>
  </r>
  <r>
    <x v="529"/>
    <x v="2"/>
  </r>
  <r>
    <x v="543"/>
    <x v="2"/>
  </r>
  <r>
    <x v="544"/>
    <x v="2"/>
  </r>
  <r>
    <x v="545"/>
    <x v="2"/>
  </r>
  <r>
    <x v="546"/>
    <x v="2"/>
  </r>
  <r>
    <x v="547"/>
    <x v="2"/>
  </r>
  <r>
    <x v="548"/>
    <x v="2"/>
  </r>
  <r>
    <x v="549"/>
    <x v="2"/>
  </r>
  <r>
    <x v="550"/>
    <x v="2"/>
  </r>
  <r>
    <x v="501"/>
    <x v="2"/>
  </r>
  <r>
    <x v="551"/>
    <x v="2"/>
  </r>
  <r>
    <x v="535"/>
    <x v="2"/>
  </r>
  <r>
    <x v="535"/>
    <x v="2"/>
  </r>
  <r>
    <x v="503"/>
    <x v="2"/>
  </r>
  <r>
    <x v="504"/>
    <x v="2"/>
  </r>
  <r>
    <x v="552"/>
    <x v="2"/>
  </r>
  <r>
    <x v="553"/>
    <x v="2"/>
  </r>
  <r>
    <x v="528"/>
    <x v="2"/>
  </r>
  <r>
    <x v="554"/>
    <x v="2"/>
  </r>
  <r>
    <x v="499"/>
    <x v="2"/>
  </r>
  <r>
    <x v="555"/>
    <x v="2"/>
  </r>
  <r>
    <x v="556"/>
    <x v="2"/>
  </r>
  <r>
    <x v="557"/>
    <x v="2"/>
  </r>
  <r>
    <x v="558"/>
    <x v="2"/>
  </r>
  <r>
    <x v="558"/>
    <x v="2"/>
  </r>
  <r>
    <x v="559"/>
    <x v="2"/>
  </r>
  <r>
    <x v="560"/>
    <x v="2"/>
  </r>
  <r>
    <x v="561"/>
    <x v="2"/>
  </r>
  <r>
    <x v="520"/>
    <x v="2"/>
  </r>
  <r>
    <x v="562"/>
    <x v="2"/>
  </r>
  <r>
    <x v="563"/>
    <x v="2"/>
  </r>
  <r>
    <x v="564"/>
    <x v="2"/>
  </r>
  <r>
    <x v="565"/>
    <x v="2"/>
  </r>
  <r>
    <x v="566"/>
    <x v="2"/>
  </r>
  <r>
    <x v="528"/>
    <x v="2"/>
  </r>
  <r>
    <x v="567"/>
    <x v="2"/>
  </r>
  <r>
    <x v="568"/>
    <x v="2"/>
  </r>
  <r>
    <x v="569"/>
    <x v="2"/>
  </r>
  <r>
    <x v="570"/>
    <x v="2"/>
  </r>
  <r>
    <x v="571"/>
    <x v="2"/>
  </r>
  <r>
    <x v="537"/>
    <x v="2"/>
  </r>
  <r>
    <x v="572"/>
    <x v="2"/>
  </r>
  <r>
    <x v="573"/>
    <x v="2"/>
  </r>
  <r>
    <x v="574"/>
    <x v="2"/>
  </r>
  <r>
    <x v="575"/>
    <x v="2"/>
  </r>
  <r>
    <x v="576"/>
    <x v="2"/>
  </r>
  <r>
    <x v="577"/>
    <x v="2"/>
  </r>
  <r>
    <x v="578"/>
    <x v="2"/>
  </r>
  <r>
    <x v="579"/>
    <x v="2"/>
  </r>
  <r>
    <x v="580"/>
    <x v="2"/>
  </r>
  <r>
    <x v="499"/>
    <x v="2"/>
  </r>
  <r>
    <x v="514"/>
    <x v="2"/>
  </r>
  <r>
    <x v="581"/>
    <x v="2"/>
  </r>
  <r>
    <x v="582"/>
    <x v="2"/>
  </r>
  <r>
    <x v="520"/>
    <x v="2"/>
  </r>
  <r>
    <x v="583"/>
    <x v="2"/>
  </r>
  <r>
    <x v="584"/>
    <x v="2"/>
  </r>
  <r>
    <x v="585"/>
    <x v="2"/>
  </r>
  <r>
    <x v="586"/>
    <x v="2"/>
  </r>
  <r>
    <x v="587"/>
    <x v="2"/>
  </r>
  <r>
    <x v="523"/>
    <x v="2"/>
  </r>
  <r>
    <x v="588"/>
    <x v="2"/>
  </r>
  <r>
    <x v="493"/>
    <x v="2"/>
  </r>
  <r>
    <x v="509"/>
    <x v="2"/>
  </r>
  <r>
    <x v="589"/>
    <x v="2"/>
  </r>
  <r>
    <x v="590"/>
    <x v="2"/>
  </r>
  <r>
    <x v="577"/>
    <x v="2"/>
  </r>
  <r>
    <x v="591"/>
    <x v="2"/>
  </r>
  <r>
    <x v="543"/>
    <x v="2"/>
  </r>
  <r>
    <x v="592"/>
    <x v="2"/>
  </r>
  <r>
    <x v="515"/>
    <x v="2"/>
  </r>
  <r>
    <x v="593"/>
    <x v="2"/>
  </r>
  <r>
    <x v="582"/>
    <x v="2"/>
  </r>
  <r>
    <x v="549"/>
    <x v="2"/>
  </r>
  <r>
    <x v="536"/>
    <x v="2"/>
  </r>
  <r>
    <x v="539"/>
    <x v="2"/>
  </r>
  <r>
    <x v="594"/>
    <x v="2"/>
  </r>
  <r>
    <x v="573"/>
    <x v="2"/>
  </r>
  <r>
    <x v="595"/>
    <x v="2"/>
  </r>
  <r>
    <x v="596"/>
    <x v="2"/>
  </r>
  <r>
    <x v="567"/>
    <x v="2"/>
  </r>
  <r>
    <x v="497"/>
    <x v="2"/>
  </r>
  <r>
    <x v="597"/>
    <x v="2"/>
  </r>
  <r>
    <x v="545"/>
    <x v="2"/>
  </r>
  <r>
    <x v="598"/>
    <x v="2"/>
  </r>
  <r>
    <x v="599"/>
    <x v="2"/>
  </r>
  <r>
    <x v="516"/>
    <x v="2"/>
  </r>
  <r>
    <x v="571"/>
    <x v="2"/>
  </r>
  <r>
    <x v="600"/>
    <x v="2"/>
  </r>
  <r>
    <x v="601"/>
    <x v="2"/>
  </r>
  <r>
    <x v="539"/>
    <x v="2"/>
  </r>
  <r>
    <x v="594"/>
    <x v="2"/>
  </r>
  <r>
    <x v="602"/>
    <x v="2"/>
  </r>
  <r>
    <x v="603"/>
    <x v="2"/>
  </r>
  <r>
    <x v="604"/>
    <x v="2"/>
  </r>
  <r>
    <x v="605"/>
    <x v="2"/>
  </r>
  <r>
    <x v="606"/>
    <x v="2"/>
  </r>
  <r>
    <x v="607"/>
    <x v="2"/>
  </r>
  <r>
    <x v="608"/>
    <x v="2"/>
  </r>
  <r>
    <x v="609"/>
    <x v="2"/>
  </r>
  <r>
    <x v="610"/>
    <x v="2"/>
  </r>
  <r>
    <x v="611"/>
    <x v="2"/>
  </r>
  <r>
    <x v="612"/>
    <x v="2"/>
  </r>
  <r>
    <x v="613"/>
    <x v="2"/>
  </r>
  <r>
    <x v="614"/>
    <x v="2"/>
  </r>
  <r>
    <x v="615"/>
    <x v="2"/>
  </r>
  <r>
    <x v="616"/>
    <x v="2"/>
  </r>
  <r>
    <x v="617"/>
    <x v="2"/>
  </r>
  <r>
    <x v="618"/>
    <x v="2"/>
  </r>
  <r>
    <x v="619"/>
    <x v="2"/>
  </r>
  <r>
    <x v="620"/>
    <x v="2"/>
  </r>
  <r>
    <x v="621"/>
    <x v="2"/>
  </r>
  <r>
    <x v="622"/>
    <x v="2"/>
  </r>
  <r>
    <x v="623"/>
    <x v="2"/>
  </r>
  <r>
    <x v="624"/>
    <x v="2"/>
  </r>
  <r>
    <x v="625"/>
    <x v="2"/>
  </r>
  <r>
    <x v="626"/>
    <x v="2"/>
  </r>
  <r>
    <x v="627"/>
    <x v="2"/>
  </r>
  <r>
    <x v="628"/>
    <x v="2"/>
  </r>
  <r>
    <x v="629"/>
    <x v="2"/>
  </r>
  <r>
    <x v="630"/>
    <x v="2"/>
  </r>
  <r>
    <x v="631"/>
    <x v="2"/>
  </r>
  <r>
    <x v="632"/>
    <x v="2"/>
  </r>
  <r>
    <x v="633"/>
    <x v="2"/>
  </r>
  <r>
    <x v="634"/>
    <x v="2"/>
  </r>
  <r>
    <x v="635"/>
    <x v="2"/>
  </r>
  <r>
    <x v="636"/>
    <x v="2"/>
  </r>
  <r>
    <x v="637"/>
    <x v="2"/>
  </r>
  <r>
    <x v="618"/>
    <x v="2"/>
  </r>
  <r>
    <x v="638"/>
    <x v="2"/>
  </r>
  <r>
    <x v="621"/>
    <x v="2"/>
  </r>
  <r>
    <x v="639"/>
    <x v="2"/>
  </r>
  <r>
    <x v="640"/>
    <x v="2"/>
  </r>
  <r>
    <x v="641"/>
    <x v="2"/>
  </r>
  <r>
    <x v="642"/>
    <x v="2"/>
  </r>
  <r>
    <x v="643"/>
    <x v="2"/>
  </r>
  <r>
    <x v="644"/>
    <x v="2"/>
  </r>
  <r>
    <x v="645"/>
    <x v="2"/>
  </r>
  <r>
    <x v="646"/>
    <x v="2"/>
  </r>
  <r>
    <x v="647"/>
    <x v="2"/>
  </r>
  <r>
    <x v="648"/>
    <x v="2"/>
  </r>
  <r>
    <x v="649"/>
    <x v="2"/>
  </r>
  <r>
    <x v="637"/>
    <x v="2"/>
  </r>
  <r>
    <x v="637"/>
    <x v="2"/>
  </r>
  <r>
    <x v="650"/>
    <x v="2"/>
  </r>
  <r>
    <x v="651"/>
    <x v="2"/>
  </r>
  <r>
    <x v="604"/>
    <x v="2"/>
  </r>
  <r>
    <x v="652"/>
    <x v="2"/>
  </r>
  <r>
    <x v="653"/>
    <x v="2"/>
  </r>
  <r>
    <x v="654"/>
    <x v="2"/>
  </r>
  <r>
    <x v="655"/>
    <x v="2"/>
  </r>
  <r>
    <x v="656"/>
    <x v="2"/>
  </r>
  <r>
    <x v="607"/>
    <x v="2"/>
  </r>
  <r>
    <x v="657"/>
    <x v="2"/>
  </r>
  <r>
    <x v="622"/>
    <x v="2"/>
  </r>
  <r>
    <x v="658"/>
    <x v="2"/>
  </r>
  <r>
    <x v="659"/>
    <x v="2"/>
  </r>
  <r>
    <x v="660"/>
    <x v="2"/>
  </r>
  <r>
    <x v="661"/>
    <x v="2"/>
  </r>
  <r>
    <x v="662"/>
    <x v="2"/>
  </r>
  <r>
    <x v="663"/>
    <x v="2"/>
  </r>
  <r>
    <x v="664"/>
    <x v="2"/>
  </r>
  <r>
    <x v="665"/>
    <x v="2"/>
  </r>
  <r>
    <x v="666"/>
    <x v="2"/>
  </r>
  <r>
    <x v="667"/>
    <x v="2"/>
  </r>
  <r>
    <x v="668"/>
    <x v="2"/>
  </r>
  <r>
    <x v="619"/>
    <x v="2"/>
  </r>
  <r>
    <x v="669"/>
    <x v="2"/>
  </r>
  <r>
    <x v="670"/>
    <x v="2"/>
  </r>
  <r>
    <x v="671"/>
    <x v="2"/>
  </r>
  <r>
    <x v="672"/>
    <x v="2"/>
  </r>
  <r>
    <x v="673"/>
    <x v="2"/>
  </r>
  <r>
    <x v="625"/>
    <x v="2"/>
  </r>
  <r>
    <x v="674"/>
    <x v="2"/>
  </r>
  <r>
    <x v="613"/>
    <x v="2"/>
  </r>
  <r>
    <x v="675"/>
    <x v="2"/>
  </r>
  <r>
    <x v="676"/>
    <x v="2"/>
  </r>
  <r>
    <x v="677"/>
    <x v="2"/>
  </r>
  <r>
    <x v="678"/>
    <x v="2"/>
  </r>
  <r>
    <x v="649"/>
    <x v="2"/>
  </r>
  <r>
    <x v="679"/>
    <x v="2"/>
  </r>
  <r>
    <x v="638"/>
    <x v="2"/>
  </r>
  <r>
    <x v="605"/>
    <x v="2"/>
  </r>
  <r>
    <x v="680"/>
    <x v="2"/>
  </r>
  <r>
    <x v="652"/>
    <x v="2"/>
  </r>
  <r>
    <x v="681"/>
    <x v="2"/>
  </r>
  <r>
    <x v="682"/>
    <x v="2"/>
  </r>
  <r>
    <x v="683"/>
    <x v="2"/>
  </r>
  <r>
    <x v="644"/>
    <x v="2"/>
  </r>
  <r>
    <x v="645"/>
    <x v="2"/>
  </r>
  <r>
    <x v="684"/>
    <x v="2"/>
  </r>
  <r>
    <x v="685"/>
    <x v="2"/>
  </r>
  <r>
    <x v="647"/>
    <x v="2"/>
  </r>
  <r>
    <x v="686"/>
    <x v="2"/>
  </r>
  <r>
    <x v="687"/>
    <x v="2"/>
  </r>
  <r>
    <x v="628"/>
    <x v="2"/>
  </r>
  <r>
    <x v="688"/>
    <x v="2"/>
  </r>
  <r>
    <x v="689"/>
    <x v="2"/>
  </r>
  <r>
    <x v="690"/>
    <x v="2"/>
  </r>
  <r>
    <x v="651"/>
    <x v="2"/>
  </r>
  <r>
    <x v="691"/>
    <x v="2"/>
  </r>
  <r>
    <x v="692"/>
    <x v="2"/>
  </r>
  <r>
    <x v="657"/>
    <x v="2"/>
  </r>
  <r>
    <x v="693"/>
    <x v="2"/>
  </r>
  <r>
    <x v="694"/>
    <x v="2"/>
  </r>
  <r>
    <x v="685"/>
    <x v="2"/>
  </r>
  <r>
    <x v="659"/>
    <x v="2"/>
  </r>
  <r>
    <x v="695"/>
    <x v="2"/>
  </r>
  <r>
    <x v="696"/>
    <x v="2"/>
  </r>
  <r>
    <x v="647"/>
    <x v="2"/>
  </r>
  <r>
    <x v="697"/>
    <x v="2"/>
  </r>
  <r>
    <x v="698"/>
    <x v="2"/>
  </r>
  <r>
    <x v="699"/>
    <x v="2"/>
  </r>
  <r>
    <x v="700"/>
    <x v="2"/>
  </r>
  <r>
    <x v="701"/>
    <x v="2"/>
  </r>
  <r>
    <x v="702"/>
    <x v="2"/>
  </r>
  <r>
    <x v="605"/>
    <x v="2"/>
  </r>
  <r>
    <x v="619"/>
    <x v="2"/>
  </r>
  <r>
    <x v="703"/>
    <x v="2"/>
  </r>
  <r>
    <x v="692"/>
    <x v="2"/>
  </r>
  <r>
    <x v="704"/>
    <x v="2"/>
  </r>
  <r>
    <x v="683"/>
    <x v="2"/>
  </r>
  <r>
    <x v="622"/>
    <x v="2"/>
  </r>
  <r>
    <x v="693"/>
    <x v="2"/>
  </r>
  <r>
    <x v="693"/>
    <x v="2"/>
  </r>
  <r>
    <x v="684"/>
    <x v="2"/>
  </r>
  <r>
    <x v="705"/>
    <x v="2"/>
  </r>
  <r>
    <x v="610"/>
    <x v="2"/>
  </r>
  <r>
    <x v="663"/>
    <x v="2"/>
  </r>
  <r>
    <x v="613"/>
    <x v="2"/>
  </r>
  <r>
    <x v="706"/>
    <x v="2"/>
  </r>
  <r>
    <x v="689"/>
    <x v="2"/>
  </r>
  <r>
    <x v="707"/>
    <x v="2"/>
  </r>
  <r>
    <x v="708"/>
    <x v="2"/>
  </r>
  <r>
    <x v="682"/>
    <x v="2"/>
  </r>
  <r>
    <x v="645"/>
    <x v="2"/>
  </r>
  <r>
    <x v="672"/>
    <x v="2"/>
  </r>
  <r>
    <x v="695"/>
    <x v="2"/>
  </r>
  <r>
    <x v="661"/>
    <x v="2"/>
  </r>
  <r>
    <x v="709"/>
    <x v="2"/>
  </r>
  <r>
    <x v="664"/>
    <x v="2"/>
  </r>
  <r>
    <x v="628"/>
    <x v="2"/>
  </r>
  <r>
    <x v="629"/>
    <x v="2"/>
  </r>
  <r>
    <x v="710"/>
    <x v="2"/>
  </r>
  <r>
    <x v="711"/>
    <x v="2"/>
  </r>
  <r>
    <x v="712"/>
    <x v="2"/>
  </r>
  <r>
    <x v="712"/>
    <x v="2"/>
  </r>
  <r>
    <x v="678"/>
    <x v="2"/>
  </r>
  <r>
    <x v="650"/>
    <x v="2"/>
  </r>
  <r>
    <x v="713"/>
    <x v="2"/>
  </r>
  <r>
    <x v="714"/>
    <x v="2"/>
  </r>
  <r>
    <x v="715"/>
    <x v="2"/>
  </r>
  <r>
    <x v="716"/>
    <x v="2"/>
  </r>
  <r>
    <x v="717"/>
    <x v="2"/>
  </r>
  <r>
    <x v="718"/>
    <x v="2"/>
  </r>
  <r>
    <x v="719"/>
    <x v="2"/>
  </r>
  <r>
    <x v="716"/>
    <x v="2"/>
  </r>
  <r>
    <x v="720"/>
    <x v="2"/>
  </r>
  <r>
    <x v="721"/>
    <x v="2"/>
  </r>
  <r>
    <x v="7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F6F8C-8C48-4B6B-B643-8125EF2DF2A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0:P14" firstHeaderRow="1" firstDataRow="1" firstDataCol="1"/>
  <pivotFields count="2">
    <pivotField dataField="1" compact="0" outline="0" showAll="0"/>
    <pivotField axis="axisRow" compact="0" outline="0" showAll="0" sortType="descending">
      <items count="4">
        <item x="0"/>
        <item n="Expensive"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ice_usd" fld="0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2E90C-8DE7-4AD4-92CA-6F924FAE4E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6:P20" firstHeaderRow="1" firstDataRow="1" firstDataCol="2"/>
  <pivotFields count="2">
    <pivotField axis="axisRow" compact="0" outline="0" showAll="0">
      <items count="724">
        <item x="139"/>
        <item x="119"/>
        <item x="216"/>
        <item x="120"/>
        <item x="63"/>
        <item x="140"/>
        <item x="141"/>
        <item x="142"/>
        <item x="91"/>
        <item x="92"/>
        <item x="30"/>
        <item x="31"/>
        <item x="0"/>
        <item x="93"/>
        <item x="189"/>
        <item x="217"/>
        <item x="32"/>
        <item x="33"/>
        <item x="94"/>
        <item x="64"/>
        <item x="95"/>
        <item x="34"/>
        <item x="1"/>
        <item x="35"/>
        <item x="169"/>
        <item x="96"/>
        <item x="97"/>
        <item x="2"/>
        <item x="218"/>
        <item x="3"/>
        <item x="98"/>
        <item x="190"/>
        <item x="99"/>
        <item x="4"/>
        <item x="170"/>
        <item x="121"/>
        <item x="171"/>
        <item x="5"/>
        <item x="6"/>
        <item x="219"/>
        <item x="143"/>
        <item x="172"/>
        <item x="122"/>
        <item x="123"/>
        <item x="191"/>
        <item x="65"/>
        <item x="7"/>
        <item x="66"/>
        <item x="8"/>
        <item x="36"/>
        <item x="37"/>
        <item x="67"/>
        <item x="68"/>
        <item x="220"/>
        <item x="124"/>
        <item x="38"/>
        <item x="39"/>
        <item x="192"/>
        <item x="144"/>
        <item x="125"/>
        <item x="193"/>
        <item x="145"/>
        <item x="146"/>
        <item x="173"/>
        <item x="147"/>
        <item x="194"/>
        <item x="126"/>
        <item x="9"/>
        <item x="40"/>
        <item x="174"/>
        <item x="148"/>
        <item x="100"/>
        <item x="149"/>
        <item x="221"/>
        <item x="150"/>
        <item x="127"/>
        <item x="222"/>
        <item x="223"/>
        <item x="101"/>
        <item x="151"/>
        <item x="175"/>
        <item x="41"/>
        <item x="224"/>
        <item x="102"/>
        <item x="152"/>
        <item x="128"/>
        <item x="10"/>
        <item x="103"/>
        <item x="69"/>
        <item x="153"/>
        <item x="11"/>
        <item x="70"/>
        <item x="195"/>
        <item x="12"/>
        <item x="225"/>
        <item x="176"/>
        <item x="104"/>
        <item x="177"/>
        <item x="71"/>
        <item x="72"/>
        <item x="154"/>
        <item x="196"/>
        <item x="129"/>
        <item x="42"/>
        <item x="105"/>
        <item x="155"/>
        <item x="73"/>
        <item x="74"/>
        <item x="106"/>
        <item x="197"/>
        <item x="226"/>
        <item x="107"/>
        <item x="198"/>
        <item x="108"/>
        <item x="156"/>
        <item x="199"/>
        <item x="43"/>
        <item x="200"/>
        <item x="44"/>
        <item x="157"/>
        <item x="75"/>
        <item x="130"/>
        <item x="227"/>
        <item x="109"/>
        <item x="110"/>
        <item x="228"/>
        <item x="178"/>
        <item x="13"/>
        <item x="14"/>
        <item x="111"/>
        <item x="158"/>
        <item x="201"/>
        <item x="15"/>
        <item x="179"/>
        <item x="131"/>
        <item x="45"/>
        <item x="16"/>
        <item x="46"/>
        <item x="76"/>
        <item x="159"/>
        <item x="160"/>
        <item x="202"/>
        <item x="17"/>
        <item x="203"/>
        <item x="47"/>
        <item x="180"/>
        <item x="18"/>
        <item x="77"/>
        <item x="229"/>
        <item x="19"/>
        <item x="181"/>
        <item x="132"/>
        <item x="204"/>
        <item x="133"/>
        <item x="205"/>
        <item x="182"/>
        <item x="48"/>
        <item x="78"/>
        <item x="20"/>
        <item x="49"/>
        <item x="161"/>
        <item x="134"/>
        <item x="206"/>
        <item x="79"/>
        <item x="207"/>
        <item x="162"/>
        <item x="80"/>
        <item x="50"/>
        <item x="163"/>
        <item x="208"/>
        <item x="51"/>
        <item x="135"/>
        <item x="21"/>
        <item x="112"/>
        <item x="183"/>
        <item x="113"/>
        <item x="22"/>
        <item x="184"/>
        <item x="136"/>
        <item x="23"/>
        <item x="52"/>
        <item x="114"/>
        <item x="230"/>
        <item x="231"/>
        <item x="185"/>
        <item x="115"/>
        <item x="53"/>
        <item x="81"/>
        <item x="209"/>
        <item x="54"/>
        <item x="164"/>
        <item x="82"/>
        <item x="55"/>
        <item x="116"/>
        <item x="56"/>
        <item x="24"/>
        <item x="186"/>
        <item x="165"/>
        <item x="210"/>
        <item x="57"/>
        <item x="25"/>
        <item x="26"/>
        <item x="211"/>
        <item x="58"/>
        <item x="166"/>
        <item x="212"/>
        <item x="27"/>
        <item x="83"/>
        <item x="213"/>
        <item x="84"/>
        <item x="187"/>
        <item x="59"/>
        <item x="60"/>
        <item x="137"/>
        <item x="117"/>
        <item x="232"/>
        <item x="28"/>
        <item x="85"/>
        <item x="61"/>
        <item x="167"/>
        <item x="86"/>
        <item x="214"/>
        <item x="62"/>
        <item x="188"/>
        <item x="168"/>
        <item x="138"/>
        <item x="29"/>
        <item x="215"/>
        <item x="118"/>
        <item x="87"/>
        <item x="88"/>
        <item x="89"/>
        <item x="233"/>
        <item x="90"/>
        <item x="574"/>
        <item x="575"/>
        <item x="595"/>
        <item x="492"/>
        <item x="552"/>
        <item x="493"/>
        <item x="553"/>
        <item x="596"/>
        <item x="525"/>
        <item x="526"/>
        <item x="540"/>
        <item x="494"/>
        <item x="509"/>
        <item x="510"/>
        <item x="541"/>
        <item x="542"/>
        <item x="589"/>
        <item x="527"/>
        <item x="566"/>
        <item x="590"/>
        <item x="495"/>
        <item x="576"/>
        <item x="528"/>
        <item x="496"/>
        <item x="567"/>
        <item x="568"/>
        <item x="497"/>
        <item x="569"/>
        <item x="554"/>
        <item x="597"/>
        <item x="529"/>
        <item x="577"/>
        <item x="530"/>
        <item x="591"/>
        <item x="543"/>
        <item x="544"/>
        <item x="578"/>
        <item x="498"/>
        <item x="545"/>
        <item x="531"/>
        <item x="598"/>
        <item x="511"/>
        <item x="592"/>
        <item x="579"/>
        <item x="580"/>
        <item x="599"/>
        <item x="512"/>
        <item x="513"/>
        <item x="499"/>
        <item x="514"/>
        <item x="515"/>
        <item x="546"/>
        <item x="532"/>
        <item x="516"/>
        <item x="555"/>
        <item x="593"/>
        <item x="547"/>
        <item x="556"/>
        <item x="557"/>
        <item x="517"/>
        <item x="533"/>
        <item x="534"/>
        <item x="558"/>
        <item x="581"/>
        <item x="559"/>
        <item x="548"/>
        <item x="582"/>
        <item x="549"/>
        <item x="550"/>
        <item x="500"/>
        <item x="501"/>
        <item x="518"/>
        <item x="519"/>
        <item x="560"/>
        <item x="570"/>
        <item x="502"/>
        <item x="561"/>
        <item x="520"/>
        <item x="551"/>
        <item x="571"/>
        <item x="535"/>
        <item x="521"/>
        <item x="503"/>
        <item x="583"/>
        <item x="562"/>
        <item x="504"/>
        <item x="536"/>
        <item x="505"/>
        <item x="537"/>
        <item x="538"/>
        <item x="584"/>
        <item x="572"/>
        <item x="585"/>
        <item x="600"/>
        <item x="601"/>
        <item x="563"/>
        <item x="506"/>
        <item x="507"/>
        <item x="586"/>
        <item x="564"/>
        <item x="539"/>
        <item x="587"/>
        <item x="594"/>
        <item x="522"/>
        <item x="573"/>
        <item x="602"/>
        <item x="565"/>
        <item x="603"/>
        <item x="523"/>
        <item x="524"/>
        <item x="508"/>
        <item x="588"/>
        <item x="718"/>
        <item x="720"/>
        <item x="715"/>
        <item x="713"/>
        <item x="721"/>
        <item x="722"/>
        <item x="716"/>
        <item x="714"/>
        <item x="717"/>
        <item x="719"/>
        <item x="638"/>
        <item x="691"/>
        <item x="604"/>
        <item x="605"/>
        <item x="619"/>
        <item x="620"/>
        <item x="703"/>
        <item x="606"/>
        <item x="621"/>
        <item x="680"/>
        <item x="652"/>
        <item x="653"/>
        <item x="681"/>
        <item x="682"/>
        <item x="639"/>
        <item x="692"/>
        <item x="640"/>
        <item x="654"/>
        <item x="655"/>
        <item x="704"/>
        <item x="656"/>
        <item x="641"/>
        <item x="642"/>
        <item x="607"/>
        <item x="669"/>
        <item x="683"/>
        <item x="643"/>
        <item x="608"/>
        <item x="609"/>
        <item x="670"/>
        <item x="657"/>
        <item x="671"/>
        <item x="644"/>
        <item x="645"/>
        <item x="622"/>
        <item x="672"/>
        <item x="646"/>
        <item x="693"/>
        <item x="673"/>
        <item x="623"/>
        <item x="624"/>
        <item x="625"/>
        <item x="694"/>
        <item x="684"/>
        <item x="685"/>
        <item x="658"/>
        <item x="659"/>
        <item x="695"/>
        <item x="696"/>
        <item x="660"/>
        <item x="661"/>
        <item x="647"/>
        <item x="705"/>
        <item x="697"/>
        <item x="610"/>
        <item x="611"/>
        <item x="626"/>
        <item x="612"/>
        <item x="662"/>
        <item x="663"/>
        <item x="709"/>
        <item x="664"/>
        <item x="674"/>
        <item x="613"/>
        <item x="614"/>
        <item x="665"/>
        <item x="686"/>
        <item x="687"/>
        <item x="627"/>
        <item x="675"/>
        <item x="628"/>
        <item x="629"/>
        <item x="676"/>
        <item x="688"/>
        <item x="630"/>
        <item x="710"/>
        <item x="631"/>
        <item x="632"/>
        <item x="633"/>
        <item x="666"/>
        <item x="711"/>
        <item x="698"/>
        <item x="634"/>
        <item x="706"/>
        <item x="635"/>
        <item x="689"/>
        <item x="699"/>
        <item x="700"/>
        <item x="701"/>
        <item x="702"/>
        <item x="615"/>
        <item x="636"/>
        <item x="712"/>
        <item x="690"/>
        <item x="677"/>
        <item x="616"/>
        <item x="648"/>
        <item x="678"/>
        <item x="707"/>
        <item x="708"/>
        <item x="649"/>
        <item x="617"/>
        <item x="637"/>
        <item x="618"/>
        <item x="650"/>
        <item x="667"/>
        <item x="679"/>
        <item x="651"/>
        <item x="668"/>
        <item x="395"/>
        <item x="466"/>
        <item x="467"/>
        <item x="367"/>
        <item x="396"/>
        <item x="234"/>
        <item x="397"/>
        <item x="419"/>
        <item x="336"/>
        <item x="443"/>
        <item x="420"/>
        <item x="368"/>
        <item x="421"/>
        <item x="337"/>
        <item x="468"/>
        <item x="235"/>
        <item x="369"/>
        <item x="338"/>
        <item x="339"/>
        <item x="469"/>
        <item x="340"/>
        <item x="307"/>
        <item x="470"/>
        <item x="272"/>
        <item x="444"/>
        <item x="398"/>
        <item x="273"/>
        <item x="370"/>
        <item x="236"/>
        <item x="399"/>
        <item x="471"/>
        <item x="274"/>
        <item x="237"/>
        <item x="422"/>
        <item x="371"/>
        <item x="238"/>
        <item x="308"/>
        <item x="309"/>
        <item x="423"/>
        <item x="472"/>
        <item x="424"/>
        <item x="275"/>
        <item x="239"/>
        <item x="276"/>
        <item x="400"/>
        <item x="277"/>
        <item x="240"/>
        <item x="310"/>
        <item x="311"/>
        <item x="445"/>
        <item x="278"/>
        <item x="341"/>
        <item x="401"/>
        <item x="372"/>
        <item x="473"/>
        <item x="241"/>
        <item x="242"/>
        <item x="373"/>
        <item x="312"/>
        <item x="425"/>
        <item x="243"/>
        <item x="279"/>
        <item x="474"/>
        <item x="374"/>
        <item x="280"/>
        <item x="446"/>
        <item x="402"/>
        <item x="281"/>
        <item x="403"/>
        <item x="404"/>
        <item x="447"/>
        <item x="426"/>
        <item x="448"/>
        <item x="244"/>
        <item x="282"/>
        <item x="449"/>
        <item x="313"/>
        <item x="314"/>
        <item x="315"/>
        <item x="427"/>
        <item x="450"/>
        <item x="405"/>
        <item x="245"/>
        <item x="375"/>
        <item x="246"/>
        <item x="342"/>
        <item x="247"/>
        <item x="428"/>
        <item x="283"/>
        <item x="406"/>
        <item x="475"/>
        <item x="476"/>
        <item x="429"/>
        <item x="248"/>
        <item x="451"/>
        <item x="284"/>
        <item x="249"/>
        <item x="407"/>
        <item x="430"/>
        <item x="452"/>
        <item x="453"/>
        <item x="316"/>
        <item x="317"/>
        <item x="318"/>
        <item x="285"/>
        <item x="376"/>
        <item x="408"/>
        <item x="286"/>
        <item x="477"/>
        <item x="250"/>
        <item x="343"/>
        <item x="454"/>
        <item x="478"/>
        <item x="344"/>
        <item x="319"/>
        <item x="479"/>
        <item x="431"/>
        <item x="377"/>
        <item x="378"/>
        <item x="409"/>
        <item x="432"/>
        <item x="480"/>
        <item x="287"/>
        <item x="320"/>
        <item x="321"/>
        <item x="379"/>
        <item x="322"/>
        <item x="345"/>
        <item x="410"/>
        <item x="251"/>
        <item x="346"/>
        <item x="252"/>
        <item x="323"/>
        <item x="481"/>
        <item x="288"/>
        <item x="347"/>
        <item x="380"/>
        <item x="348"/>
        <item x="253"/>
        <item x="381"/>
        <item x="254"/>
        <item x="433"/>
        <item x="255"/>
        <item x="324"/>
        <item x="289"/>
        <item x="325"/>
        <item x="482"/>
        <item x="411"/>
        <item x="349"/>
        <item x="290"/>
        <item x="382"/>
        <item x="256"/>
        <item x="350"/>
        <item x="483"/>
        <item x="455"/>
        <item x="257"/>
        <item x="351"/>
        <item x="291"/>
        <item x="292"/>
        <item x="383"/>
        <item x="456"/>
        <item x="258"/>
        <item x="457"/>
        <item x="458"/>
        <item x="412"/>
        <item x="413"/>
        <item x="484"/>
        <item x="293"/>
        <item x="434"/>
        <item x="294"/>
        <item x="259"/>
        <item x="435"/>
        <item x="459"/>
        <item x="384"/>
        <item x="385"/>
        <item x="436"/>
        <item x="295"/>
        <item x="414"/>
        <item x="326"/>
        <item x="352"/>
        <item x="296"/>
        <item x="437"/>
        <item x="485"/>
        <item x="353"/>
        <item x="327"/>
        <item x="438"/>
        <item x="260"/>
        <item x="261"/>
        <item x="297"/>
        <item x="486"/>
        <item x="298"/>
        <item x="415"/>
        <item x="439"/>
        <item x="328"/>
        <item x="416"/>
        <item x="262"/>
        <item x="460"/>
        <item x="386"/>
        <item x="299"/>
        <item x="329"/>
        <item x="300"/>
        <item x="354"/>
        <item x="387"/>
        <item x="440"/>
        <item x="263"/>
        <item x="417"/>
        <item x="355"/>
        <item x="301"/>
        <item x="487"/>
        <item x="356"/>
        <item x="330"/>
        <item x="357"/>
        <item x="358"/>
        <item x="264"/>
        <item x="418"/>
        <item x="359"/>
        <item x="302"/>
        <item x="303"/>
        <item x="461"/>
        <item x="331"/>
        <item x="388"/>
        <item x="265"/>
        <item x="332"/>
        <item x="441"/>
        <item x="304"/>
        <item x="266"/>
        <item x="488"/>
        <item x="389"/>
        <item x="360"/>
        <item x="267"/>
        <item x="489"/>
        <item x="361"/>
        <item x="390"/>
        <item x="462"/>
        <item x="305"/>
        <item x="268"/>
        <item x="362"/>
        <item x="363"/>
        <item x="333"/>
        <item x="442"/>
        <item x="269"/>
        <item x="270"/>
        <item x="334"/>
        <item x="364"/>
        <item x="490"/>
        <item x="271"/>
        <item x="391"/>
        <item x="392"/>
        <item x="306"/>
        <item x="365"/>
        <item x="335"/>
        <item x="463"/>
        <item x="393"/>
        <item x="464"/>
        <item x="491"/>
        <item x="366"/>
        <item x="394"/>
        <item x="465"/>
        <item t="default"/>
      </items>
    </pivotField>
    <pivotField axis="axisRow" compact="0" outline="0" showAll="0">
      <items count="4">
        <item sd="0" x="0"/>
        <item sd="0" x="1"/>
        <item sd="0" x="2"/>
        <item t="default"/>
      </items>
    </pivotField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formats count="5">
    <format dxfId="10">
      <pivotArea type="all" dataOnly="0" outline="0" fieldPosition="0"/>
    </format>
    <format dxfId="9">
      <pivotArea field="1" type="button" dataOnly="0" labelOnly="1" outline="0" axis="axisRow" fieldPosition="0"/>
    </format>
    <format dxfId="8">
      <pivotArea field="0" type="button" dataOnly="0" labelOnly="1" outline="0" axis="axisRow" fieldPosition="1"/>
    </format>
    <format dxfId="7">
      <pivotArea dataOnly="0" labelOnly="1" outline="0" fieldPosition="0">
        <references count="1">
          <reference field="1" count="0"/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39D6-F234-4DB6-BE16-FE335D8D19DF}">
  <dimension ref="A1:Y1001"/>
  <sheetViews>
    <sheetView topLeftCell="A974" workbookViewId="0">
      <selection activeCell="D1" sqref="D1:G1001"/>
    </sheetView>
  </sheetViews>
  <sheetFormatPr defaultRowHeight="13.8" x14ac:dyDescent="0.25"/>
  <cols>
    <col min="1" max="1" width="15.21875" style="20" customWidth="1"/>
    <col min="2" max="2" width="21" style="20" customWidth="1"/>
    <col min="3" max="3" width="12.109375" style="20" customWidth="1"/>
    <col min="4" max="4" width="11.88671875" style="20" customWidth="1"/>
    <col min="5" max="5" width="11.109375" style="20" customWidth="1"/>
    <col min="6" max="6" width="12.33203125" style="20" customWidth="1"/>
    <col min="7" max="7" width="15.33203125" style="20" customWidth="1"/>
    <col min="8" max="8" width="12.88671875" style="20" customWidth="1"/>
    <col min="9" max="9" width="11.33203125" style="20" customWidth="1"/>
    <col min="10" max="10" width="12.33203125" style="20" customWidth="1"/>
    <col min="11" max="11" width="8.88671875" style="20"/>
    <col min="12" max="12" width="21.109375" style="20" customWidth="1"/>
    <col min="13" max="14" width="8.88671875" style="20"/>
    <col min="15" max="15" width="13.5546875" style="20" customWidth="1"/>
    <col min="16" max="16" width="15.5546875" style="20" customWidth="1"/>
    <col min="17" max="17" width="14.6640625" style="20" customWidth="1"/>
    <col min="18" max="18" width="12.5546875" style="20" customWidth="1"/>
    <col min="19" max="19" width="13" style="20" customWidth="1"/>
    <col min="20" max="20" width="11.5546875" style="20" customWidth="1"/>
    <col min="21" max="21" width="12" style="20" customWidth="1"/>
    <col min="22" max="22" width="11.6640625" style="20" customWidth="1"/>
    <col min="23" max="23" width="11.44140625" style="20" customWidth="1"/>
    <col min="24" max="24" width="12" style="20" customWidth="1"/>
    <col min="25" max="25" width="12.109375" style="20" customWidth="1"/>
    <col min="26" max="16384" width="8.88671875" style="20"/>
  </cols>
  <sheetData>
    <row r="1" spans="1:25" x14ac:dyDescent="0.25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7" t="s">
        <v>7</v>
      </c>
      <c r="I1" s="17" t="s">
        <v>8</v>
      </c>
      <c r="J1" s="17" t="s">
        <v>9</v>
      </c>
      <c r="L1" s="21" t="s">
        <v>10</v>
      </c>
    </row>
    <row r="2" spans="1:25" x14ac:dyDescent="0.25">
      <c r="A2" s="22" t="s">
        <v>11</v>
      </c>
      <c r="B2" s="22" t="s">
        <v>12</v>
      </c>
      <c r="C2" s="22">
        <v>101</v>
      </c>
      <c r="D2" s="22">
        <v>1024</v>
      </c>
      <c r="E2" s="22">
        <v>50</v>
      </c>
      <c r="F2" s="22">
        <v>5000</v>
      </c>
      <c r="G2" s="22">
        <v>5.6</v>
      </c>
      <c r="H2" s="22" t="s">
        <v>13</v>
      </c>
      <c r="I2" s="22" t="s">
        <v>14</v>
      </c>
      <c r="J2" s="22">
        <v>4</v>
      </c>
      <c r="L2" s="23" t="s">
        <v>15</v>
      </c>
    </row>
    <row r="3" spans="1:25" x14ac:dyDescent="0.25">
      <c r="A3" s="22" t="s">
        <v>16</v>
      </c>
      <c r="B3" s="22" t="s">
        <v>17</v>
      </c>
      <c r="C3" s="22">
        <v>102</v>
      </c>
      <c r="D3" s="22">
        <v>128</v>
      </c>
      <c r="E3" s="22">
        <v>48</v>
      </c>
      <c r="F3" s="22">
        <v>5500</v>
      </c>
      <c r="G3" s="22">
        <v>7</v>
      </c>
      <c r="H3" s="22" t="s">
        <v>13</v>
      </c>
      <c r="I3" s="22" t="s">
        <v>14</v>
      </c>
      <c r="J3" s="22">
        <v>4.4000000000000004</v>
      </c>
      <c r="L3" s="24" t="s">
        <v>18</v>
      </c>
    </row>
    <row r="4" spans="1:25" x14ac:dyDescent="0.25">
      <c r="A4" s="22" t="s">
        <v>19</v>
      </c>
      <c r="B4" s="22" t="s">
        <v>20</v>
      </c>
      <c r="C4" s="22">
        <v>105</v>
      </c>
      <c r="D4" s="22">
        <v>64</v>
      </c>
      <c r="E4" s="22">
        <v>12</v>
      </c>
      <c r="F4" s="22">
        <v>5000</v>
      </c>
      <c r="G4" s="22">
        <v>6.4</v>
      </c>
      <c r="H4" s="22" t="s">
        <v>21</v>
      </c>
      <c r="I4" s="22" t="s">
        <v>14</v>
      </c>
      <c r="J4" s="22">
        <v>4.8</v>
      </c>
    </row>
    <row r="5" spans="1:25" x14ac:dyDescent="0.25">
      <c r="A5" s="22" t="s">
        <v>16</v>
      </c>
      <c r="B5" s="22" t="s">
        <v>22</v>
      </c>
      <c r="C5" s="22">
        <v>107</v>
      </c>
      <c r="D5" s="22">
        <v>64</v>
      </c>
      <c r="E5" s="22">
        <v>64</v>
      </c>
      <c r="F5" s="22">
        <v>6000</v>
      </c>
      <c r="G5" s="22">
        <v>6.3</v>
      </c>
      <c r="H5" s="22" t="s">
        <v>21</v>
      </c>
      <c r="I5" s="22" t="s">
        <v>14</v>
      </c>
      <c r="J5" s="22">
        <v>3.9</v>
      </c>
      <c r="L5" s="20" t="s">
        <v>23</v>
      </c>
    </row>
    <row r="6" spans="1:25" x14ac:dyDescent="0.25">
      <c r="A6" s="22" t="s">
        <v>24</v>
      </c>
      <c r="B6" s="22" t="s">
        <v>25</v>
      </c>
      <c r="C6" s="22">
        <v>109</v>
      </c>
      <c r="D6" s="22">
        <v>1024</v>
      </c>
      <c r="E6" s="22">
        <v>108</v>
      </c>
      <c r="F6" s="22">
        <v>4500</v>
      </c>
      <c r="G6" s="22">
        <v>7.1</v>
      </c>
      <c r="H6" s="22" t="s">
        <v>13</v>
      </c>
      <c r="I6" s="22" t="s">
        <v>14</v>
      </c>
      <c r="J6" s="22">
        <v>3.8</v>
      </c>
      <c r="L6" s="20" t="s">
        <v>26</v>
      </c>
    </row>
    <row r="7" spans="1:25" x14ac:dyDescent="0.25">
      <c r="A7" s="22" t="s">
        <v>11</v>
      </c>
      <c r="B7" s="22" t="s">
        <v>27</v>
      </c>
      <c r="C7" s="22">
        <v>110</v>
      </c>
      <c r="D7" s="22">
        <v>512</v>
      </c>
      <c r="E7" s="22">
        <v>50</v>
      </c>
      <c r="F7" s="22">
        <v>5500</v>
      </c>
      <c r="G7" s="22">
        <v>5.7</v>
      </c>
      <c r="H7" s="22" t="s">
        <v>21</v>
      </c>
      <c r="I7" s="22" t="s">
        <v>14</v>
      </c>
      <c r="J7" s="22">
        <v>4.0999999999999996</v>
      </c>
      <c r="L7" s="20" t="s">
        <v>28</v>
      </c>
    </row>
    <row r="8" spans="1:25" x14ac:dyDescent="0.25">
      <c r="A8" s="22" t="s">
        <v>11</v>
      </c>
      <c r="B8" s="22" t="s">
        <v>29</v>
      </c>
      <c r="C8" s="22">
        <v>111</v>
      </c>
      <c r="D8" s="22">
        <v>1024</v>
      </c>
      <c r="E8" s="22">
        <v>50</v>
      </c>
      <c r="F8" s="22">
        <v>5500</v>
      </c>
      <c r="G8" s="22">
        <v>6.7</v>
      </c>
      <c r="H8" s="22" t="s">
        <v>13</v>
      </c>
      <c r="I8" s="22" t="s">
        <v>14</v>
      </c>
      <c r="J8" s="22">
        <v>5</v>
      </c>
      <c r="L8" s="20" t="s">
        <v>30</v>
      </c>
    </row>
    <row r="9" spans="1:25" x14ac:dyDescent="0.25">
      <c r="A9" s="22" t="s">
        <v>11</v>
      </c>
      <c r="B9" s="22" t="s">
        <v>31</v>
      </c>
      <c r="C9" s="22">
        <v>112</v>
      </c>
      <c r="D9" s="22">
        <v>256</v>
      </c>
      <c r="E9" s="22">
        <v>200</v>
      </c>
      <c r="F9" s="22">
        <v>4000</v>
      </c>
      <c r="G9" s="22">
        <v>5.5</v>
      </c>
      <c r="H9" s="22" t="s">
        <v>13</v>
      </c>
      <c r="I9" s="22" t="s">
        <v>14</v>
      </c>
      <c r="J9" s="22">
        <v>3.5</v>
      </c>
      <c r="L9" s="20" t="s">
        <v>32</v>
      </c>
      <c r="O9" s="25"/>
      <c r="P9" s="25"/>
    </row>
    <row r="10" spans="1:25" x14ac:dyDescent="0.25">
      <c r="A10" s="22" t="s">
        <v>33</v>
      </c>
      <c r="B10" s="22" t="s">
        <v>34</v>
      </c>
      <c r="C10" s="22">
        <v>112</v>
      </c>
      <c r="D10" s="22">
        <v>512</v>
      </c>
      <c r="E10" s="22">
        <v>12</v>
      </c>
      <c r="F10" s="22">
        <v>4500</v>
      </c>
      <c r="G10" s="22">
        <v>6.7</v>
      </c>
      <c r="H10" s="22" t="s">
        <v>21</v>
      </c>
      <c r="I10" s="22" t="s">
        <v>14</v>
      </c>
      <c r="J10" s="22">
        <v>4.5</v>
      </c>
      <c r="L10" s="20" t="s">
        <v>35</v>
      </c>
      <c r="O10" s="26" t="s">
        <v>36</v>
      </c>
      <c r="P10" s="26"/>
      <c r="Q10" s="27" t="s">
        <v>37</v>
      </c>
      <c r="R10" s="27" t="s">
        <v>38</v>
      </c>
      <c r="S10" s="27" t="s">
        <v>39</v>
      </c>
      <c r="T10" s="27" t="s">
        <v>40</v>
      </c>
      <c r="U10" s="27" t="s">
        <v>41</v>
      </c>
      <c r="V10" s="27" t="s">
        <v>42</v>
      </c>
      <c r="W10" s="27" t="s">
        <v>43</v>
      </c>
      <c r="X10" s="27" t="s">
        <v>44</v>
      </c>
      <c r="Y10" s="27" t="s">
        <v>45</v>
      </c>
    </row>
    <row r="11" spans="1:25" x14ac:dyDescent="0.25">
      <c r="A11" s="22" t="s">
        <v>19</v>
      </c>
      <c r="B11" s="22" t="s">
        <v>46</v>
      </c>
      <c r="C11" s="22">
        <v>112</v>
      </c>
      <c r="D11" s="22">
        <v>64</v>
      </c>
      <c r="E11" s="22">
        <v>50</v>
      </c>
      <c r="F11" s="22">
        <v>6000</v>
      </c>
      <c r="G11" s="22">
        <v>6</v>
      </c>
      <c r="H11" s="22" t="s">
        <v>13</v>
      </c>
      <c r="I11" s="22" t="s">
        <v>14</v>
      </c>
      <c r="J11" s="22">
        <v>3.7</v>
      </c>
      <c r="O11" s="28">
        <v>100</v>
      </c>
      <c r="P11" s="28">
        <v>300</v>
      </c>
      <c r="Q11" s="28" cm="1">
        <f t="array" ref="Q11:Q17">FREQUENCY(C:C,P11:P16)</f>
        <v>148</v>
      </c>
      <c r="R11" s="28">
        <f>Q11</f>
        <v>148</v>
      </c>
      <c r="S11" s="29">
        <f>Q11/$Q$18</f>
        <v>0.14799999999999999</v>
      </c>
      <c r="T11" s="29">
        <f>S11</f>
        <v>0.14799999999999999</v>
      </c>
      <c r="U11" s="28">
        <f>(P11+O11)/2</f>
        <v>200</v>
      </c>
      <c r="V11" s="28">
        <f>U11*Q11</f>
        <v>29600</v>
      </c>
      <c r="W11" s="28">
        <f>V11</f>
        <v>29600</v>
      </c>
      <c r="X11" s="29">
        <f>V11/$V$18</f>
        <v>3.6525172754195458E-2</v>
      </c>
      <c r="Y11" s="29">
        <f>X11</f>
        <v>3.6525172754195458E-2</v>
      </c>
    </row>
    <row r="12" spans="1:25" x14ac:dyDescent="0.25">
      <c r="A12" s="22" t="s">
        <v>47</v>
      </c>
      <c r="B12" s="22" t="s">
        <v>48</v>
      </c>
      <c r="C12" s="22">
        <v>118</v>
      </c>
      <c r="D12" s="22">
        <v>64</v>
      </c>
      <c r="E12" s="22">
        <v>48</v>
      </c>
      <c r="F12" s="22">
        <v>6000</v>
      </c>
      <c r="G12" s="22">
        <v>6.2</v>
      </c>
      <c r="H12" s="22" t="s">
        <v>21</v>
      </c>
      <c r="I12" s="22" t="s">
        <v>14</v>
      </c>
      <c r="J12" s="22">
        <v>4.5999999999999996</v>
      </c>
      <c r="O12" s="28">
        <v>300</v>
      </c>
      <c r="P12" s="28">
        <v>500</v>
      </c>
      <c r="Q12" s="28">
        <v>133</v>
      </c>
      <c r="R12" s="28">
        <f>R11+Q12</f>
        <v>281</v>
      </c>
      <c r="S12" s="29">
        <f t="shared" ref="S12:S17" si="0">Q12/$Q$18</f>
        <v>0.13300000000000001</v>
      </c>
      <c r="T12" s="29">
        <f>T11+S12</f>
        <v>0.28100000000000003</v>
      </c>
      <c r="U12" s="28">
        <f t="shared" ref="U12:U17" si="1">(P12+O12)/2</f>
        <v>400</v>
      </c>
      <c r="V12" s="28">
        <f t="shared" ref="V12:V17" si="2">U12*Q12</f>
        <v>53200</v>
      </c>
      <c r="W12" s="28">
        <f>W11+V12</f>
        <v>82800</v>
      </c>
      <c r="X12" s="29">
        <f t="shared" ref="X12:X17" si="3">V12/$V$18</f>
        <v>6.5646594274432382E-2</v>
      </c>
      <c r="Y12" s="29">
        <f>Y11+X12</f>
        <v>0.10217176702862785</v>
      </c>
    </row>
    <row r="13" spans="1:25" x14ac:dyDescent="0.25">
      <c r="A13" s="22" t="s">
        <v>16</v>
      </c>
      <c r="B13" s="22" t="s">
        <v>49</v>
      </c>
      <c r="C13" s="22">
        <v>118</v>
      </c>
      <c r="D13" s="22">
        <v>1024</v>
      </c>
      <c r="E13" s="22">
        <v>12</v>
      </c>
      <c r="F13" s="22">
        <v>5500</v>
      </c>
      <c r="G13" s="22">
        <v>6.6</v>
      </c>
      <c r="H13" s="22" t="s">
        <v>21</v>
      </c>
      <c r="I13" s="22" t="s">
        <v>14</v>
      </c>
      <c r="J13" s="22">
        <v>4.5</v>
      </c>
      <c r="O13" s="28">
        <v>500</v>
      </c>
      <c r="P13" s="28">
        <v>700</v>
      </c>
      <c r="Q13" s="28">
        <v>129</v>
      </c>
      <c r="R13" s="28">
        <f t="shared" ref="R13:R17" si="4">R12+Q13</f>
        <v>410</v>
      </c>
      <c r="S13" s="29">
        <f t="shared" si="0"/>
        <v>0.129</v>
      </c>
      <c r="T13" s="29">
        <f t="shared" ref="T13:T17" si="5">T12+S13</f>
        <v>0.41000000000000003</v>
      </c>
      <c r="U13" s="28">
        <f t="shared" si="1"/>
        <v>600</v>
      </c>
      <c r="V13" s="28">
        <f t="shared" si="2"/>
        <v>77400</v>
      </c>
      <c r="W13" s="28">
        <f t="shared" ref="W13:W17" si="6">W12+V13</f>
        <v>160200</v>
      </c>
      <c r="X13" s="29">
        <f t="shared" si="3"/>
        <v>9.550839091806515E-2</v>
      </c>
      <c r="Y13" s="29">
        <f t="shared" ref="Y13:Y17" si="7">Y12+X13</f>
        <v>0.197680157946693</v>
      </c>
    </row>
    <row r="14" spans="1:25" x14ac:dyDescent="0.25">
      <c r="A14" s="22" t="s">
        <v>16</v>
      </c>
      <c r="B14" s="22" t="s">
        <v>50</v>
      </c>
      <c r="C14" s="22">
        <v>118</v>
      </c>
      <c r="D14" s="22">
        <v>512</v>
      </c>
      <c r="E14" s="22">
        <v>108</v>
      </c>
      <c r="F14" s="22">
        <v>4500</v>
      </c>
      <c r="G14" s="22">
        <v>5.5</v>
      </c>
      <c r="H14" s="22" t="s">
        <v>13</v>
      </c>
      <c r="I14" s="22" t="s">
        <v>14</v>
      </c>
      <c r="J14" s="22">
        <v>5</v>
      </c>
      <c r="O14" s="28">
        <v>700</v>
      </c>
      <c r="P14" s="28">
        <v>900</v>
      </c>
      <c r="Q14" s="28">
        <v>153</v>
      </c>
      <c r="R14" s="28">
        <f t="shared" si="4"/>
        <v>563</v>
      </c>
      <c r="S14" s="29">
        <f t="shared" si="0"/>
        <v>0.153</v>
      </c>
      <c r="T14" s="29">
        <f t="shared" si="5"/>
        <v>0.56300000000000006</v>
      </c>
      <c r="U14" s="28">
        <f t="shared" si="1"/>
        <v>800</v>
      </c>
      <c r="V14" s="28">
        <f t="shared" si="2"/>
        <v>122400</v>
      </c>
      <c r="W14" s="28">
        <f t="shared" si="6"/>
        <v>282600</v>
      </c>
      <c r="X14" s="29">
        <f t="shared" si="3"/>
        <v>0.1510365251727542</v>
      </c>
      <c r="Y14" s="29">
        <f t="shared" si="7"/>
        <v>0.3487166831194472</v>
      </c>
    </row>
    <row r="15" spans="1:25" x14ac:dyDescent="0.25">
      <c r="A15" s="22" t="s">
        <v>47</v>
      </c>
      <c r="B15" s="22" t="s">
        <v>51</v>
      </c>
      <c r="C15" s="22">
        <v>119</v>
      </c>
      <c r="D15" s="22">
        <v>64</v>
      </c>
      <c r="E15" s="22">
        <v>48</v>
      </c>
      <c r="F15" s="22">
        <v>4000</v>
      </c>
      <c r="G15" s="22">
        <v>5.8</v>
      </c>
      <c r="H15" s="22" t="s">
        <v>21</v>
      </c>
      <c r="I15" s="22" t="s">
        <v>14</v>
      </c>
      <c r="J15" s="22">
        <v>4.4000000000000004</v>
      </c>
      <c r="O15" s="28">
        <v>900</v>
      </c>
      <c r="P15" s="28">
        <v>1100</v>
      </c>
      <c r="Q15" s="28">
        <v>135</v>
      </c>
      <c r="R15" s="28">
        <f t="shared" si="4"/>
        <v>698</v>
      </c>
      <c r="S15" s="29">
        <f t="shared" si="0"/>
        <v>0.13500000000000001</v>
      </c>
      <c r="T15" s="29">
        <f t="shared" si="5"/>
        <v>0.69800000000000006</v>
      </c>
      <c r="U15" s="28">
        <f t="shared" si="1"/>
        <v>1000</v>
      </c>
      <c r="V15" s="28">
        <f t="shared" si="2"/>
        <v>135000</v>
      </c>
      <c r="W15" s="28">
        <f t="shared" si="6"/>
        <v>417600</v>
      </c>
      <c r="X15" s="29">
        <f t="shared" si="3"/>
        <v>0.16658440276406714</v>
      </c>
      <c r="Y15" s="29">
        <f t="shared" si="7"/>
        <v>0.51530108588351431</v>
      </c>
    </row>
    <row r="16" spans="1:25" x14ac:dyDescent="0.25">
      <c r="A16" s="22" t="s">
        <v>52</v>
      </c>
      <c r="B16" s="22" t="s">
        <v>53</v>
      </c>
      <c r="C16" s="22">
        <v>121</v>
      </c>
      <c r="D16" s="22">
        <v>512</v>
      </c>
      <c r="E16" s="22">
        <v>48</v>
      </c>
      <c r="F16" s="22">
        <v>5000</v>
      </c>
      <c r="G16" s="22">
        <v>6.7</v>
      </c>
      <c r="H16" s="22" t="s">
        <v>13</v>
      </c>
      <c r="I16" s="22" t="s">
        <v>14</v>
      </c>
      <c r="J16" s="22">
        <v>4.3</v>
      </c>
      <c r="O16" s="28">
        <v>1100</v>
      </c>
      <c r="P16" s="28">
        <v>1300</v>
      </c>
      <c r="Q16" s="28">
        <v>150</v>
      </c>
      <c r="R16" s="28">
        <f t="shared" si="4"/>
        <v>848</v>
      </c>
      <c r="S16" s="29">
        <f t="shared" si="0"/>
        <v>0.15</v>
      </c>
      <c r="T16" s="29">
        <f t="shared" si="5"/>
        <v>0.84800000000000009</v>
      </c>
      <c r="U16" s="28">
        <f t="shared" si="1"/>
        <v>1200</v>
      </c>
      <c r="V16" s="28">
        <f t="shared" si="2"/>
        <v>180000</v>
      </c>
      <c r="W16" s="28">
        <f t="shared" si="6"/>
        <v>597600</v>
      </c>
      <c r="X16" s="29">
        <f t="shared" si="3"/>
        <v>0.22211253701875616</v>
      </c>
      <c r="Y16" s="29">
        <f t="shared" si="7"/>
        <v>0.73741362290227053</v>
      </c>
    </row>
    <row r="17" spans="1:25" x14ac:dyDescent="0.25">
      <c r="A17" s="22" t="s">
        <v>52</v>
      </c>
      <c r="B17" s="22" t="s">
        <v>54</v>
      </c>
      <c r="C17" s="22">
        <v>121</v>
      </c>
      <c r="D17" s="22">
        <v>128</v>
      </c>
      <c r="E17" s="22">
        <v>64</v>
      </c>
      <c r="F17" s="22">
        <v>5000</v>
      </c>
      <c r="G17" s="22">
        <v>6.4</v>
      </c>
      <c r="H17" s="22" t="s">
        <v>13</v>
      </c>
      <c r="I17" s="22" t="s">
        <v>14</v>
      </c>
      <c r="J17" s="22">
        <v>3.5</v>
      </c>
      <c r="O17" s="28">
        <v>1300</v>
      </c>
      <c r="P17" s="28">
        <v>1500</v>
      </c>
      <c r="Q17" s="28">
        <v>152</v>
      </c>
      <c r="R17" s="28">
        <f t="shared" si="4"/>
        <v>1000</v>
      </c>
      <c r="S17" s="29">
        <f t="shared" si="0"/>
        <v>0.152</v>
      </c>
      <c r="T17" s="29">
        <f t="shared" si="5"/>
        <v>1</v>
      </c>
      <c r="U17" s="28">
        <f t="shared" si="1"/>
        <v>1400</v>
      </c>
      <c r="V17" s="28">
        <f t="shared" si="2"/>
        <v>212800</v>
      </c>
      <c r="W17" s="28">
        <f t="shared" si="6"/>
        <v>810400</v>
      </c>
      <c r="X17" s="29">
        <f t="shared" si="3"/>
        <v>0.26258637709772953</v>
      </c>
      <c r="Y17" s="29">
        <f t="shared" si="7"/>
        <v>1</v>
      </c>
    </row>
    <row r="18" spans="1:25" x14ac:dyDescent="0.25">
      <c r="A18" s="22" t="s">
        <v>52</v>
      </c>
      <c r="B18" s="22" t="s">
        <v>55</v>
      </c>
      <c r="C18" s="22">
        <v>122</v>
      </c>
      <c r="D18" s="22">
        <v>64</v>
      </c>
      <c r="E18" s="22">
        <v>200</v>
      </c>
      <c r="F18" s="22">
        <v>6000</v>
      </c>
      <c r="G18" s="22">
        <v>6.7</v>
      </c>
      <c r="H18" s="22" t="s">
        <v>13</v>
      </c>
      <c r="I18" s="22" t="s">
        <v>14</v>
      </c>
      <c r="J18" s="22">
        <v>5</v>
      </c>
      <c r="O18" s="28"/>
      <c r="P18" s="30" t="s">
        <v>56</v>
      </c>
      <c r="Q18" s="30">
        <f>SUM(_xlfn.ANCHORARRAY(Q11))</f>
        <v>1000</v>
      </c>
      <c r="R18" s="30"/>
      <c r="S18" s="30"/>
      <c r="T18" s="30"/>
      <c r="U18" s="30"/>
      <c r="V18" s="30">
        <f>SUM(V10:V17)</f>
        <v>810400</v>
      </c>
      <c r="W18" s="28"/>
      <c r="X18" s="28"/>
      <c r="Y18" s="28"/>
    </row>
    <row r="19" spans="1:25" x14ac:dyDescent="0.25">
      <c r="A19" s="22" t="s">
        <v>33</v>
      </c>
      <c r="B19" s="22" t="s">
        <v>57</v>
      </c>
      <c r="C19" s="22">
        <v>126</v>
      </c>
      <c r="D19" s="22">
        <v>128</v>
      </c>
      <c r="E19" s="22">
        <v>64</v>
      </c>
      <c r="F19" s="22">
        <v>4000</v>
      </c>
      <c r="G19" s="22">
        <v>6.2</v>
      </c>
      <c r="H19" s="22" t="s">
        <v>13</v>
      </c>
      <c r="I19" s="22" t="s">
        <v>14</v>
      </c>
      <c r="J19" s="22">
        <v>4.3</v>
      </c>
    </row>
    <row r="20" spans="1:25" x14ac:dyDescent="0.25">
      <c r="A20" s="22" t="s">
        <v>58</v>
      </c>
      <c r="B20" s="22" t="s">
        <v>59</v>
      </c>
      <c r="C20" s="22">
        <v>126</v>
      </c>
      <c r="D20" s="22">
        <v>1024</v>
      </c>
      <c r="E20" s="22">
        <v>64</v>
      </c>
      <c r="F20" s="22">
        <v>6000</v>
      </c>
      <c r="G20" s="22">
        <v>5.5</v>
      </c>
      <c r="H20" s="22" t="s">
        <v>13</v>
      </c>
      <c r="I20" s="22" t="s">
        <v>60</v>
      </c>
      <c r="J20" s="22">
        <v>4.7</v>
      </c>
    </row>
    <row r="21" spans="1:25" x14ac:dyDescent="0.25">
      <c r="A21" s="22" t="s">
        <v>33</v>
      </c>
      <c r="B21" s="22" t="s">
        <v>61</v>
      </c>
      <c r="C21" s="22">
        <v>126</v>
      </c>
      <c r="D21" s="22">
        <v>512</v>
      </c>
      <c r="E21" s="22">
        <v>200</v>
      </c>
      <c r="F21" s="22">
        <v>4000</v>
      </c>
      <c r="G21" s="22">
        <v>5.6</v>
      </c>
      <c r="H21" s="22" t="s">
        <v>21</v>
      </c>
      <c r="I21" s="22" t="s">
        <v>14</v>
      </c>
      <c r="J21" s="22">
        <v>3.7</v>
      </c>
      <c r="O21" s="31" t="s">
        <v>62</v>
      </c>
      <c r="P21" s="32" t="s">
        <v>63</v>
      </c>
      <c r="Q21" s="33"/>
      <c r="R21" s="34" t="s">
        <v>64</v>
      </c>
    </row>
    <row r="22" spans="1:25" x14ac:dyDescent="0.25">
      <c r="A22" s="22" t="s">
        <v>47</v>
      </c>
      <c r="B22" s="22" t="s">
        <v>65</v>
      </c>
      <c r="C22" s="22">
        <v>127</v>
      </c>
      <c r="D22" s="22">
        <v>256</v>
      </c>
      <c r="E22" s="22">
        <v>200</v>
      </c>
      <c r="F22" s="22">
        <v>5500</v>
      </c>
      <c r="G22" s="22">
        <v>5.7</v>
      </c>
      <c r="H22" s="22" t="s">
        <v>21</v>
      </c>
      <c r="I22" s="22" t="s">
        <v>14</v>
      </c>
      <c r="J22" s="22">
        <v>5</v>
      </c>
      <c r="O22" s="35" t="s">
        <v>66</v>
      </c>
      <c r="P22" s="36" cm="1">
        <f t="array" ref="P22:P23">_xlfn.MODE.MULT(C:C)</f>
        <v>342</v>
      </c>
      <c r="R22" s="37" t="s">
        <v>40</v>
      </c>
      <c r="S22" s="37" t="s">
        <v>45</v>
      </c>
      <c r="T22" s="37" t="s">
        <v>67</v>
      </c>
    </row>
    <row r="23" spans="1:25" x14ac:dyDescent="0.25">
      <c r="A23" s="22" t="s">
        <v>33</v>
      </c>
      <c r="B23" s="22" t="s">
        <v>68</v>
      </c>
      <c r="C23" s="22">
        <v>128</v>
      </c>
      <c r="D23" s="22">
        <v>512</v>
      </c>
      <c r="E23" s="22">
        <v>48</v>
      </c>
      <c r="F23" s="22">
        <v>5000</v>
      </c>
      <c r="G23" s="22">
        <v>5.6</v>
      </c>
      <c r="H23" s="22" t="s">
        <v>21</v>
      </c>
      <c r="I23" s="22" t="s">
        <v>14</v>
      </c>
      <c r="J23" s="22">
        <v>3.8</v>
      </c>
      <c r="O23" s="35" t="s">
        <v>66</v>
      </c>
      <c r="P23" s="28">
        <v>627</v>
      </c>
      <c r="R23" s="38">
        <v>0</v>
      </c>
      <c r="S23" s="38">
        <v>0</v>
      </c>
      <c r="T23" s="28"/>
    </row>
    <row r="24" spans="1:25" x14ac:dyDescent="0.25">
      <c r="A24" s="22" t="s">
        <v>19</v>
      </c>
      <c r="B24" s="22" t="s">
        <v>69</v>
      </c>
      <c r="C24" s="22">
        <v>130</v>
      </c>
      <c r="D24" s="22">
        <v>64</v>
      </c>
      <c r="E24" s="22">
        <v>200</v>
      </c>
      <c r="F24" s="22">
        <v>5000</v>
      </c>
      <c r="G24" s="22">
        <v>6.3</v>
      </c>
      <c r="H24" s="22" t="s">
        <v>13</v>
      </c>
      <c r="I24" s="22" t="s">
        <v>14</v>
      </c>
      <c r="J24" s="22">
        <v>4.5999999999999996</v>
      </c>
      <c r="O24" s="35" t="s">
        <v>70</v>
      </c>
      <c r="P24" s="36">
        <f>MEDIAN(C:C)</f>
        <v>822</v>
      </c>
      <c r="R24" s="29">
        <f t="shared" ref="R24:R30" si="8">T11</f>
        <v>0.14799999999999999</v>
      </c>
      <c r="S24" s="29">
        <f t="shared" ref="S24:S30" si="9">Y11</f>
        <v>3.6525172754195458E-2</v>
      </c>
      <c r="T24" s="28">
        <f>(S24+S23)/2*(R24-R23)</f>
        <v>2.7028627838104639E-3</v>
      </c>
    </row>
    <row r="25" spans="1:25" x14ac:dyDescent="0.25">
      <c r="A25" s="22" t="s">
        <v>52</v>
      </c>
      <c r="B25" s="22" t="s">
        <v>71</v>
      </c>
      <c r="C25" s="22">
        <v>131</v>
      </c>
      <c r="D25" s="22">
        <v>1024</v>
      </c>
      <c r="E25" s="22">
        <v>200</v>
      </c>
      <c r="F25" s="22">
        <v>6000</v>
      </c>
      <c r="G25" s="22">
        <v>6.6</v>
      </c>
      <c r="H25" s="22" t="s">
        <v>21</v>
      </c>
      <c r="I25" s="22" t="s">
        <v>14</v>
      </c>
      <c r="J25" s="22">
        <v>4</v>
      </c>
      <c r="O25" s="39" t="s">
        <v>72</v>
      </c>
      <c r="P25" s="40">
        <f>AVERAGE(C:C)</f>
        <v>813.47799999999995</v>
      </c>
      <c r="R25" s="29">
        <f t="shared" si="8"/>
        <v>0.28100000000000003</v>
      </c>
      <c r="S25" s="29">
        <f t="shared" si="9"/>
        <v>0.10217176702862785</v>
      </c>
      <c r="T25" s="28">
        <f t="shared" ref="T25:T30" si="10">(S25+S24)/2*(R25-R24)</f>
        <v>9.2233464955577514E-3</v>
      </c>
    </row>
    <row r="26" spans="1:25" ht="14.4" customHeight="1" x14ac:dyDescent="0.25">
      <c r="A26" s="22" t="s">
        <v>52</v>
      </c>
      <c r="B26" s="22" t="s">
        <v>73</v>
      </c>
      <c r="C26" s="22">
        <v>134</v>
      </c>
      <c r="D26" s="22">
        <v>64</v>
      </c>
      <c r="E26" s="22">
        <v>48</v>
      </c>
      <c r="F26" s="22">
        <v>4000</v>
      </c>
      <c r="G26" s="22">
        <v>6.3</v>
      </c>
      <c r="H26" s="22" t="s">
        <v>21</v>
      </c>
      <c r="I26" s="22" t="s">
        <v>14</v>
      </c>
      <c r="J26" s="22">
        <v>3.8</v>
      </c>
      <c r="O26" s="41" t="s">
        <v>74</v>
      </c>
      <c r="P26" s="42">
        <f>MIN(C:C)</f>
        <v>101</v>
      </c>
      <c r="R26" s="29">
        <f t="shared" si="8"/>
        <v>0.41000000000000003</v>
      </c>
      <c r="S26" s="29">
        <f t="shared" si="9"/>
        <v>0.197680157946693</v>
      </c>
      <c r="T26" s="28">
        <f t="shared" si="10"/>
        <v>1.9340449160908196E-2</v>
      </c>
    </row>
    <row r="27" spans="1:25" ht="16.2" x14ac:dyDescent="0.35">
      <c r="A27" s="22" t="s">
        <v>47</v>
      </c>
      <c r="B27" s="22" t="s">
        <v>75</v>
      </c>
      <c r="C27" s="22">
        <v>135</v>
      </c>
      <c r="D27" s="22">
        <v>128</v>
      </c>
      <c r="E27" s="22">
        <v>48</v>
      </c>
      <c r="F27" s="22">
        <v>4000</v>
      </c>
      <c r="G27" s="22">
        <v>6.9</v>
      </c>
      <c r="H27" s="22" t="s">
        <v>13</v>
      </c>
      <c r="I27" s="22" t="s">
        <v>14</v>
      </c>
      <c r="J27" s="22">
        <v>3.9</v>
      </c>
      <c r="O27" s="35" t="s">
        <v>1071</v>
      </c>
      <c r="P27" s="28">
        <f>_xlfn.PERCENTILE.EXC(C:C,10%)</f>
        <v>231.10000000000002</v>
      </c>
      <c r="R27" s="29">
        <f t="shared" si="8"/>
        <v>0.56300000000000006</v>
      </c>
      <c r="S27" s="29">
        <f t="shared" si="9"/>
        <v>0.3487166831194472</v>
      </c>
      <c r="T27" s="28">
        <f>(S27+S26)/2*(R27-R26)</f>
        <v>4.1799358341559727E-2</v>
      </c>
    </row>
    <row r="28" spans="1:25" ht="16.2" x14ac:dyDescent="0.35">
      <c r="A28" s="22" t="s">
        <v>16</v>
      </c>
      <c r="B28" s="22" t="s">
        <v>76</v>
      </c>
      <c r="C28" s="22">
        <v>135</v>
      </c>
      <c r="D28" s="22">
        <v>256</v>
      </c>
      <c r="E28" s="22">
        <v>50</v>
      </c>
      <c r="F28" s="22">
        <v>5500</v>
      </c>
      <c r="G28" s="22">
        <v>6.7</v>
      </c>
      <c r="H28" s="22" t="s">
        <v>13</v>
      </c>
      <c r="I28" s="22" t="s">
        <v>14</v>
      </c>
      <c r="J28" s="22">
        <v>4.2</v>
      </c>
      <c r="O28" s="35" t="s">
        <v>1072</v>
      </c>
      <c r="P28" s="43">
        <f>_xlfn.QUARTILE.EXC(C:C,1)</f>
        <v>447.75</v>
      </c>
      <c r="R28" s="29">
        <f t="shared" si="8"/>
        <v>0.69800000000000006</v>
      </c>
      <c r="S28" s="29">
        <f t="shared" si="9"/>
        <v>0.51530108588351431</v>
      </c>
      <c r="T28" s="28">
        <f t="shared" si="10"/>
        <v>5.8321199407699913E-2</v>
      </c>
    </row>
    <row r="29" spans="1:25" x14ac:dyDescent="0.25">
      <c r="A29" s="22" t="s">
        <v>24</v>
      </c>
      <c r="B29" s="22" t="s">
        <v>77</v>
      </c>
      <c r="C29" s="22">
        <v>136</v>
      </c>
      <c r="D29" s="22">
        <v>64</v>
      </c>
      <c r="E29" s="22">
        <v>48</v>
      </c>
      <c r="F29" s="22">
        <v>5000</v>
      </c>
      <c r="G29" s="22">
        <v>5.6</v>
      </c>
      <c r="H29" s="22" t="s">
        <v>21</v>
      </c>
      <c r="I29" s="22" t="s">
        <v>14</v>
      </c>
      <c r="J29" s="22">
        <v>4.5999999999999996</v>
      </c>
      <c r="O29" s="35" t="s">
        <v>78</v>
      </c>
      <c r="P29" s="36">
        <f>P28-1.5*(P31-P28)</f>
        <v>-630.75</v>
      </c>
      <c r="Q29" s="20" t="s">
        <v>79</v>
      </c>
      <c r="R29" s="29">
        <f t="shared" si="8"/>
        <v>0.84800000000000009</v>
      </c>
      <c r="S29" s="29">
        <f t="shared" si="9"/>
        <v>0.73741362290227053</v>
      </c>
      <c r="T29" s="28">
        <f t="shared" si="10"/>
        <v>9.3953603158933877E-2</v>
      </c>
    </row>
    <row r="30" spans="1:25" x14ac:dyDescent="0.25">
      <c r="A30" s="22" t="s">
        <v>47</v>
      </c>
      <c r="B30" s="22" t="s">
        <v>80</v>
      </c>
      <c r="C30" s="22">
        <v>137</v>
      </c>
      <c r="D30" s="22">
        <v>64</v>
      </c>
      <c r="E30" s="22">
        <v>48</v>
      </c>
      <c r="F30" s="22">
        <v>4500</v>
      </c>
      <c r="G30" s="22">
        <v>5.8</v>
      </c>
      <c r="H30" s="22" t="s">
        <v>13</v>
      </c>
      <c r="I30" s="22" t="s">
        <v>14</v>
      </c>
      <c r="J30" s="22">
        <v>3.7</v>
      </c>
      <c r="O30" s="35" t="s">
        <v>81</v>
      </c>
      <c r="P30" s="36">
        <f>P31+1.5*(P31-P28)</f>
        <v>2245.25</v>
      </c>
      <c r="Q30" s="20" t="s">
        <v>82</v>
      </c>
      <c r="R30" s="29">
        <f t="shared" si="8"/>
        <v>1</v>
      </c>
      <c r="S30" s="29">
        <f t="shared" si="9"/>
        <v>1</v>
      </c>
      <c r="T30" s="28">
        <f t="shared" si="10"/>
        <v>0.13204343534057247</v>
      </c>
    </row>
    <row r="31" spans="1:25" ht="16.2" x14ac:dyDescent="0.35">
      <c r="A31" s="22" t="s">
        <v>52</v>
      </c>
      <c r="B31" s="22" t="s">
        <v>83</v>
      </c>
      <c r="C31" s="22">
        <v>138</v>
      </c>
      <c r="D31" s="22">
        <v>64</v>
      </c>
      <c r="E31" s="22">
        <v>50</v>
      </c>
      <c r="F31" s="22">
        <v>4000</v>
      </c>
      <c r="G31" s="22">
        <v>6.3</v>
      </c>
      <c r="H31" s="22" t="s">
        <v>21</v>
      </c>
      <c r="I31" s="22" t="s">
        <v>14</v>
      </c>
      <c r="J31" s="22">
        <v>3.7</v>
      </c>
      <c r="O31" s="35" t="s">
        <v>1073</v>
      </c>
      <c r="P31" s="44">
        <f>_xlfn.QUARTILE.EXC(C:C, 3)</f>
        <v>1166.75</v>
      </c>
    </row>
    <row r="32" spans="1:25" ht="16.2" x14ac:dyDescent="0.35">
      <c r="A32" s="22" t="s">
        <v>58</v>
      </c>
      <c r="B32" s="22" t="s">
        <v>84</v>
      </c>
      <c r="C32" s="22">
        <v>139</v>
      </c>
      <c r="D32" s="22">
        <v>64</v>
      </c>
      <c r="E32" s="22">
        <v>50</v>
      </c>
      <c r="F32" s="22">
        <v>4500</v>
      </c>
      <c r="G32" s="22">
        <v>5.9</v>
      </c>
      <c r="H32" s="22" t="s">
        <v>13</v>
      </c>
      <c r="I32" s="22" t="s">
        <v>60</v>
      </c>
      <c r="J32" s="22">
        <v>4</v>
      </c>
      <c r="O32" s="35" t="s">
        <v>1074</v>
      </c>
      <c r="P32" s="28">
        <f>_xlfn.PERCENTILE.EXC(C:C, 90%)</f>
        <v>1378.6</v>
      </c>
    </row>
    <row r="33" spans="1:19" x14ac:dyDescent="0.25">
      <c r="A33" s="22" t="s">
        <v>16</v>
      </c>
      <c r="B33" s="22" t="s">
        <v>85</v>
      </c>
      <c r="C33" s="22">
        <v>141</v>
      </c>
      <c r="D33" s="22">
        <v>64</v>
      </c>
      <c r="E33" s="22">
        <v>64</v>
      </c>
      <c r="F33" s="22">
        <v>5500</v>
      </c>
      <c r="G33" s="22">
        <v>6.4</v>
      </c>
      <c r="H33" s="22" t="s">
        <v>13</v>
      </c>
      <c r="I33" s="22" t="s">
        <v>14</v>
      </c>
      <c r="J33" s="22">
        <v>3.9</v>
      </c>
      <c r="O33" s="39" t="s">
        <v>86</v>
      </c>
      <c r="P33" s="40">
        <f>MAX(C:C)</f>
        <v>1499</v>
      </c>
      <c r="R33" s="27" t="s">
        <v>87</v>
      </c>
      <c r="S33" s="38">
        <f>1-SUM(T24:T30)/0.5</f>
        <v>0.28523149062191511</v>
      </c>
    </row>
    <row r="34" spans="1:19" x14ac:dyDescent="0.25">
      <c r="A34" s="22" t="s">
        <v>52</v>
      </c>
      <c r="B34" s="22" t="s">
        <v>88</v>
      </c>
      <c r="C34" s="22">
        <v>141</v>
      </c>
      <c r="D34" s="22">
        <v>128</v>
      </c>
      <c r="E34" s="22">
        <v>108</v>
      </c>
      <c r="F34" s="22">
        <v>4500</v>
      </c>
      <c r="G34" s="22">
        <v>7</v>
      </c>
      <c r="H34" s="22" t="s">
        <v>21</v>
      </c>
      <c r="I34" s="22" t="s">
        <v>14</v>
      </c>
      <c r="J34" s="22">
        <v>4.5</v>
      </c>
      <c r="O34" s="41" t="s">
        <v>89</v>
      </c>
      <c r="P34" s="45">
        <f>P33-P26</f>
        <v>1398</v>
      </c>
      <c r="R34" s="27" t="s">
        <v>90</v>
      </c>
      <c r="S34" s="28" cm="1">
        <f t="array" ref="S34">SUMPRODUCT(X11:X17^2)</f>
        <v>0.18361339603905402</v>
      </c>
    </row>
    <row r="35" spans="1:19" ht="16.2" x14ac:dyDescent="0.35">
      <c r="A35" s="22" t="s">
        <v>91</v>
      </c>
      <c r="B35" s="22" t="s">
        <v>92</v>
      </c>
      <c r="C35" s="22">
        <v>142</v>
      </c>
      <c r="D35" s="22">
        <v>512</v>
      </c>
      <c r="E35" s="22">
        <v>200</v>
      </c>
      <c r="F35" s="22">
        <v>4500</v>
      </c>
      <c r="G35" s="22">
        <v>6</v>
      </c>
      <c r="H35" s="22" t="s">
        <v>21</v>
      </c>
      <c r="I35" s="22" t="s">
        <v>14</v>
      </c>
      <c r="J35" s="22">
        <v>4.0999999999999996</v>
      </c>
      <c r="O35" s="35" t="s">
        <v>1075</v>
      </c>
      <c r="P35" s="28">
        <f>P31-P28</f>
        <v>719</v>
      </c>
      <c r="R35" s="27" t="s">
        <v>93</v>
      </c>
      <c r="S35" s="28">
        <f>1/COUNT(C:C)</f>
        <v>1E-3</v>
      </c>
    </row>
    <row r="36" spans="1:19" ht="16.2" x14ac:dyDescent="0.35">
      <c r="A36" s="22" t="s">
        <v>47</v>
      </c>
      <c r="B36" s="22" t="s">
        <v>94</v>
      </c>
      <c r="C36" s="22">
        <v>147</v>
      </c>
      <c r="D36" s="22">
        <v>1024</v>
      </c>
      <c r="E36" s="22">
        <v>200</v>
      </c>
      <c r="F36" s="22">
        <v>4500</v>
      </c>
      <c r="G36" s="22">
        <v>6.5</v>
      </c>
      <c r="H36" s="22" t="s">
        <v>21</v>
      </c>
      <c r="I36" s="22" t="s">
        <v>14</v>
      </c>
      <c r="J36" s="22">
        <v>4.4000000000000004</v>
      </c>
      <c r="O36" s="35" t="s">
        <v>1076</v>
      </c>
      <c r="P36" s="46">
        <f>P32-P27</f>
        <v>1147.5</v>
      </c>
    </row>
    <row r="37" spans="1:19" ht="16.8" x14ac:dyDescent="0.25">
      <c r="A37" s="22" t="s">
        <v>47</v>
      </c>
      <c r="B37" s="22" t="s">
        <v>95</v>
      </c>
      <c r="C37" s="22">
        <v>148</v>
      </c>
      <c r="D37" s="22">
        <v>1024</v>
      </c>
      <c r="E37" s="22">
        <v>200</v>
      </c>
      <c r="F37" s="22">
        <v>5500</v>
      </c>
      <c r="G37" s="22">
        <v>5.7</v>
      </c>
      <c r="H37" s="22" t="s">
        <v>21</v>
      </c>
      <c r="I37" s="22" t="s">
        <v>14</v>
      </c>
      <c r="J37" s="22">
        <v>4.2</v>
      </c>
      <c r="O37" s="47" t="s">
        <v>1077</v>
      </c>
      <c r="P37" s="28">
        <f>_xlfn.VAR.P(C:C)</f>
        <v>169334.27551599999</v>
      </c>
    </row>
    <row r="38" spans="1:19" x14ac:dyDescent="0.25">
      <c r="A38" s="22" t="s">
        <v>47</v>
      </c>
      <c r="B38" s="22" t="s">
        <v>96</v>
      </c>
      <c r="C38" s="22">
        <v>151</v>
      </c>
      <c r="D38" s="22">
        <v>512</v>
      </c>
      <c r="E38" s="22">
        <v>108</v>
      </c>
      <c r="F38" s="22">
        <v>5500</v>
      </c>
      <c r="G38" s="22">
        <v>7.1</v>
      </c>
      <c r="H38" s="22" t="s">
        <v>13</v>
      </c>
      <c r="I38" s="22" t="s">
        <v>14</v>
      </c>
      <c r="J38" s="22">
        <v>4.9000000000000004</v>
      </c>
      <c r="O38" s="35" t="s">
        <v>97</v>
      </c>
      <c r="P38" s="42">
        <f>_xlfn.STDEV.P(C:C)</f>
        <v>411.50246112994267</v>
      </c>
    </row>
    <row r="39" spans="1:19" x14ac:dyDescent="0.25">
      <c r="A39" s="22" t="s">
        <v>33</v>
      </c>
      <c r="B39" s="22" t="s">
        <v>98</v>
      </c>
      <c r="C39" s="22">
        <v>151</v>
      </c>
      <c r="D39" s="22">
        <v>512</v>
      </c>
      <c r="E39" s="22">
        <v>108</v>
      </c>
      <c r="F39" s="22">
        <v>4500</v>
      </c>
      <c r="G39" s="22">
        <v>6.1</v>
      </c>
      <c r="H39" s="22" t="s">
        <v>13</v>
      </c>
      <c r="I39" s="22" t="s">
        <v>14</v>
      </c>
      <c r="J39" s="22">
        <v>3.6</v>
      </c>
      <c r="O39" s="39" t="s">
        <v>99</v>
      </c>
      <c r="P39" s="48">
        <f>P38/P25</f>
        <v>0.5058556729621978</v>
      </c>
    </row>
    <row r="40" spans="1:19" x14ac:dyDescent="0.25">
      <c r="A40" s="22" t="s">
        <v>58</v>
      </c>
      <c r="B40" s="22" t="s">
        <v>100</v>
      </c>
      <c r="C40" s="22">
        <v>151</v>
      </c>
      <c r="D40" s="22">
        <v>128</v>
      </c>
      <c r="E40" s="22">
        <v>108</v>
      </c>
      <c r="F40" s="22">
        <v>5500</v>
      </c>
      <c r="G40" s="22">
        <v>6.3</v>
      </c>
      <c r="H40" s="22" t="s">
        <v>21</v>
      </c>
      <c r="I40" s="22" t="s">
        <v>60</v>
      </c>
      <c r="J40" s="22">
        <v>4.7</v>
      </c>
      <c r="O40" s="41" t="s">
        <v>101</v>
      </c>
      <c r="P40" s="45">
        <f>3*(P25-P24)/P39</f>
        <v>-50.540107320118302</v>
      </c>
    </row>
    <row r="41" spans="1:19" ht="16.2" x14ac:dyDescent="0.35">
      <c r="A41" s="22" t="s">
        <v>19</v>
      </c>
      <c r="B41" s="22" t="s">
        <v>102</v>
      </c>
      <c r="C41" s="22">
        <v>152</v>
      </c>
      <c r="D41" s="22">
        <v>1024</v>
      </c>
      <c r="E41" s="22">
        <v>12</v>
      </c>
      <c r="F41" s="22">
        <v>4500</v>
      </c>
      <c r="G41" s="22">
        <v>6.2</v>
      </c>
      <c r="H41" s="22" t="s">
        <v>21</v>
      </c>
      <c r="I41" s="22" t="s">
        <v>14</v>
      </c>
      <c r="J41" s="22">
        <v>3.9</v>
      </c>
      <c r="O41" s="35" t="s">
        <v>1078</v>
      </c>
      <c r="P41" s="28">
        <f>((P31-P24)-(P24-P28))/((P31-P24)+(P24-P28))</f>
        <v>-4.1029207232267037E-2</v>
      </c>
    </row>
    <row r="42" spans="1:19" ht="16.2" x14ac:dyDescent="0.35">
      <c r="A42" s="22" t="s">
        <v>58</v>
      </c>
      <c r="B42" s="22" t="s">
        <v>103</v>
      </c>
      <c r="C42" s="22">
        <v>154</v>
      </c>
      <c r="D42" s="22">
        <v>64</v>
      </c>
      <c r="E42" s="22">
        <v>108</v>
      </c>
      <c r="F42" s="22">
        <v>4000</v>
      </c>
      <c r="G42" s="22">
        <v>6.4</v>
      </c>
      <c r="H42" s="22" t="s">
        <v>21</v>
      </c>
      <c r="I42" s="22" t="s">
        <v>60</v>
      </c>
      <c r="J42" s="22">
        <v>3.8</v>
      </c>
      <c r="O42" s="35" t="s">
        <v>1079</v>
      </c>
      <c r="P42" s="28">
        <f>((P32-P24)-(P24-P27))/((P32-P24)+(P24-P27))</f>
        <v>-2.9891067538126422E-2</v>
      </c>
    </row>
    <row r="43" spans="1:19" ht="16.2" x14ac:dyDescent="0.35">
      <c r="A43" s="22" t="s">
        <v>19</v>
      </c>
      <c r="B43" s="22" t="s">
        <v>104</v>
      </c>
      <c r="C43" s="22">
        <v>154</v>
      </c>
      <c r="D43" s="22">
        <v>128</v>
      </c>
      <c r="E43" s="22">
        <v>48</v>
      </c>
      <c r="F43" s="22">
        <v>4000</v>
      </c>
      <c r="G43" s="22">
        <v>6.8</v>
      </c>
      <c r="H43" s="22" t="s">
        <v>21</v>
      </c>
      <c r="I43" s="22" t="s">
        <v>14</v>
      </c>
      <c r="J43" s="22">
        <v>4.3</v>
      </c>
      <c r="O43" s="35" t="s">
        <v>1080</v>
      </c>
      <c r="P43" s="28">
        <f>_xlfn.SKEW.P(C:C)</f>
        <v>-5.7695030360250844E-2</v>
      </c>
    </row>
    <row r="44" spans="1:19" ht="16.2" x14ac:dyDescent="0.35">
      <c r="A44" s="22" t="s">
        <v>47</v>
      </c>
      <c r="B44" s="22" t="s">
        <v>105</v>
      </c>
      <c r="C44" s="22">
        <v>158</v>
      </c>
      <c r="D44" s="22">
        <v>64</v>
      </c>
      <c r="E44" s="22">
        <v>64</v>
      </c>
      <c r="F44" s="22">
        <v>5500</v>
      </c>
      <c r="G44" s="22">
        <v>5.6</v>
      </c>
      <c r="H44" s="22" t="s">
        <v>21</v>
      </c>
      <c r="I44" s="22" t="s">
        <v>14</v>
      </c>
      <c r="J44" s="22">
        <v>3.5</v>
      </c>
      <c r="O44" s="39" t="s">
        <v>1081</v>
      </c>
      <c r="P44" s="48">
        <f>KURT(C:C)</f>
        <v>-1.2227080834472477</v>
      </c>
    </row>
    <row r="45" spans="1:19" x14ac:dyDescent="0.25">
      <c r="A45" s="22" t="s">
        <v>33</v>
      </c>
      <c r="B45" s="22" t="s">
        <v>106</v>
      </c>
      <c r="C45" s="22">
        <v>161</v>
      </c>
      <c r="D45" s="22">
        <v>64</v>
      </c>
      <c r="E45" s="22">
        <v>64</v>
      </c>
      <c r="F45" s="22">
        <v>5000</v>
      </c>
      <c r="G45" s="22">
        <v>7.2</v>
      </c>
      <c r="H45" s="22" t="s">
        <v>21</v>
      </c>
      <c r="I45" s="22" t="s">
        <v>14</v>
      </c>
      <c r="J45" s="22">
        <v>3.8</v>
      </c>
    </row>
    <row r="46" spans="1:19" x14ac:dyDescent="0.25">
      <c r="A46" s="22" t="s">
        <v>47</v>
      </c>
      <c r="B46" s="22" t="s">
        <v>107</v>
      </c>
      <c r="C46" s="22">
        <v>163</v>
      </c>
      <c r="D46" s="22">
        <v>256</v>
      </c>
      <c r="E46" s="22">
        <v>200</v>
      </c>
      <c r="F46" s="22">
        <v>6000</v>
      </c>
      <c r="G46" s="22">
        <v>6.2</v>
      </c>
      <c r="H46" s="22" t="s">
        <v>21</v>
      </c>
      <c r="I46" s="22" t="s">
        <v>14</v>
      </c>
      <c r="J46" s="22">
        <v>4.0999999999999996</v>
      </c>
    </row>
    <row r="47" spans="1:19" x14ac:dyDescent="0.25">
      <c r="A47" s="22" t="s">
        <v>58</v>
      </c>
      <c r="B47" s="22" t="s">
        <v>108</v>
      </c>
      <c r="C47" s="22">
        <v>164</v>
      </c>
      <c r="D47" s="22">
        <v>512</v>
      </c>
      <c r="E47" s="22">
        <v>48</v>
      </c>
      <c r="F47" s="22">
        <v>4000</v>
      </c>
      <c r="G47" s="22">
        <v>6.6</v>
      </c>
      <c r="H47" s="22" t="s">
        <v>13</v>
      </c>
      <c r="I47" s="22" t="s">
        <v>60</v>
      </c>
      <c r="J47" s="22">
        <v>4.5</v>
      </c>
    </row>
    <row r="48" spans="1:19" x14ac:dyDescent="0.25">
      <c r="A48" s="22" t="s">
        <v>91</v>
      </c>
      <c r="B48" s="22" t="s">
        <v>109</v>
      </c>
      <c r="C48" s="22">
        <v>165</v>
      </c>
      <c r="D48" s="22">
        <v>64</v>
      </c>
      <c r="E48" s="22">
        <v>50</v>
      </c>
      <c r="F48" s="22">
        <v>6000</v>
      </c>
      <c r="G48" s="22">
        <v>6.5</v>
      </c>
      <c r="H48" s="22" t="s">
        <v>21</v>
      </c>
      <c r="I48" s="22" t="s">
        <v>14</v>
      </c>
      <c r="J48" s="22">
        <v>4.0999999999999996</v>
      </c>
    </row>
    <row r="49" spans="1:10" x14ac:dyDescent="0.25">
      <c r="A49" s="22" t="s">
        <v>16</v>
      </c>
      <c r="B49" s="22" t="s">
        <v>110</v>
      </c>
      <c r="C49" s="22">
        <v>166</v>
      </c>
      <c r="D49" s="22">
        <v>64</v>
      </c>
      <c r="E49" s="22">
        <v>64</v>
      </c>
      <c r="F49" s="22">
        <v>6000</v>
      </c>
      <c r="G49" s="22">
        <v>6.6</v>
      </c>
      <c r="H49" s="22" t="s">
        <v>13</v>
      </c>
      <c r="I49" s="22" t="s">
        <v>14</v>
      </c>
      <c r="J49" s="22">
        <v>4</v>
      </c>
    </row>
    <row r="50" spans="1:10" x14ac:dyDescent="0.25">
      <c r="A50" s="22" t="s">
        <v>33</v>
      </c>
      <c r="B50" s="22" t="s">
        <v>111</v>
      </c>
      <c r="C50" s="22">
        <v>166</v>
      </c>
      <c r="D50" s="22">
        <v>128</v>
      </c>
      <c r="E50" s="22">
        <v>12</v>
      </c>
      <c r="F50" s="22">
        <v>5500</v>
      </c>
      <c r="G50" s="22">
        <v>5.9</v>
      </c>
      <c r="H50" s="22" t="s">
        <v>13</v>
      </c>
      <c r="I50" s="22" t="s">
        <v>14</v>
      </c>
      <c r="J50" s="22">
        <v>3.9</v>
      </c>
    </row>
    <row r="51" spans="1:10" x14ac:dyDescent="0.25">
      <c r="A51" s="22" t="s">
        <v>16</v>
      </c>
      <c r="B51" s="22" t="s">
        <v>112</v>
      </c>
      <c r="C51" s="22">
        <v>166</v>
      </c>
      <c r="D51" s="22">
        <v>64</v>
      </c>
      <c r="E51" s="22">
        <v>12</v>
      </c>
      <c r="F51" s="22">
        <v>6000</v>
      </c>
      <c r="G51" s="22">
        <v>6.4</v>
      </c>
      <c r="H51" s="22" t="s">
        <v>21</v>
      </c>
      <c r="I51" s="22" t="s">
        <v>14</v>
      </c>
      <c r="J51" s="22">
        <v>3.7</v>
      </c>
    </row>
    <row r="52" spans="1:10" x14ac:dyDescent="0.25">
      <c r="A52" s="22" t="s">
        <v>91</v>
      </c>
      <c r="B52" s="22" t="s">
        <v>113</v>
      </c>
      <c r="C52" s="22">
        <v>167</v>
      </c>
      <c r="D52" s="22">
        <v>256</v>
      </c>
      <c r="E52" s="22">
        <v>48</v>
      </c>
      <c r="F52" s="22">
        <v>4000</v>
      </c>
      <c r="G52" s="22">
        <v>6.7</v>
      </c>
      <c r="H52" s="22" t="s">
        <v>21</v>
      </c>
      <c r="I52" s="22" t="s">
        <v>14</v>
      </c>
      <c r="J52" s="22">
        <v>4.5999999999999996</v>
      </c>
    </row>
    <row r="53" spans="1:10" x14ac:dyDescent="0.25">
      <c r="A53" s="22" t="s">
        <v>19</v>
      </c>
      <c r="B53" s="22" t="s">
        <v>114</v>
      </c>
      <c r="C53" s="22">
        <v>167</v>
      </c>
      <c r="D53" s="22">
        <v>128</v>
      </c>
      <c r="E53" s="22">
        <v>64</v>
      </c>
      <c r="F53" s="22">
        <v>4000</v>
      </c>
      <c r="G53" s="22">
        <v>6.8</v>
      </c>
      <c r="H53" s="22" t="s">
        <v>13</v>
      </c>
      <c r="I53" s="22" t="s">
        <v>14</v>
      </c>
      <c r="J53" s="22">
        <v>3.9</v>
      </c>
    </row>
    <row r="54" spans="1:10" x14ac:dyDescent="0.25">
      <c r="A54" s="22" t="s">
        <v>58</v>
      </c>
      <c r="B54" s="22" t="s">
        <v>115</v>
      </c>
      <c r="C54" s="22">
        <v>168</v>
      </c>
      <c r="D54" s="22">
        <v>256</v>
      </c>
      <c r="E54" s="22">
        <v>48</v>
      </c>
      <c r="F54" s="22">
        <v>4000</v>
      </c>
      <c r="G54" s="22">
        <v>6.1</v>
      </c>
      <c r="H54" s="22" t="s">
        <v>21</v>
      </c>
      <c r="I54" s="22" t="s">
        <v>60</v>
      </c>
      <c r="J54" s="22">
        <v>4.8</v>
      </c>
    </row>
    <row r="55" spans="1:10" x14ac:dyDescent="0.25">
      <c r="A55" s="22" t="s">
        <v>47</v>
      </c>
      <c r="B55" s="22" t="s">
        <v>116</v>
      </c>
      <c r="C55" s="22">
        <v>168</v>
      </c>
      <c r="D55" s="22">
        <v>64</v>
      </c>
      <c r="E55" s="22">
        <v>64</v>
      </c>
      <c r="F55" s="22">
        <v>5000</v>
      </c>
      <c r="G55" s="22">
        <v>6</v>
      </c>
      <c r="H55" s="22" t="s">
        <v>21</v>
      </c>
      <c r="I55" s="22" t="s">
        <v>14</v>
      </c>
      <c r="J55" s="22">
        <v>3.6</v>
      </c>
    </row>
    <row r="56" spans="1:10" x14ac:dyDescent="0.25">
      <c r="A56" s="22" t="s">
        <v>58</v>
      </c>
      <c r="B56" s="22" t="s">
        <v>117</v>
      </c>
      <c r="C56" s="22">
        <v>170</v>
      </c>
      <c r="D56" s="22">
        <v>512</v>
      </c>
      <c r="E56" s="22">
        <v>48</v>
      </c>
      <c r="F56" s="22">
        <v>5500</v>
      </c>
      <c r="G56" s="22">
        <v>6.6</v>
      </c>
      <c r="H56" s="22" t="s">
        <v>21</v>
      </c>
      <c r="I56" s="22" t="s">
        <v>60</v>
      </c>
      <c r="J56" s="22">
        <v>4.9000000000000004</v>
      </c>
    </row>
    <row r="57" spans="1:10" x14ac:dyDescent="0.25">
      <c r="A57" s="22" t="s">
        <v>19</v>
      </c>
      <c r="B57" s="22" t="s">
        <v>118</v>
      </c>
      <c r="C57" s="22">
        <v>171</v>
      </c>
      <c r="D57" s="22">
        <v>64</v>
      </c>
      <c r="E57" s="22">
        <v>48</v>
      </c>
      <c r="F57" s="22">
        <v>5000</v>
      </c>
      <c r="G57" s="22">
        <v>5.8</v>
      </c>
      <c r="H57" s="22" t="s">
        <v>21</v>
      </c>
      <c r="I57" s="22" t="s">
        <v>14</v>
      </c>
      <c r="J57" s="22">
        <v>4.8</v>
      </c>
    </row>
    <row r="58" spans="1:10" x14ac:dyDescent="0.25">
      <c r="A58" s="22" t="s">
        <v>11</v>
      </c>
      <c r="B58" s="22" t="s">
        <v>119</v>
      </c>
      <c r="C58" s="22">
        <v>175</v>
      </c>
      <c r="D58" s="22">
        <v>64</v>
      </c>
      <c r="E58" s="22">
        <v>200</v>
      </c>
      <c r="F58" s="22">
        <v>5500</v>
      </c>
      <c r="G58" s="22">
        <v>5.8</v>
      </c>
      <c r="H58" s="22" t="s">
        <v>13</v>
      </c>
      <c r="I58" s="22" t="s">
        <v>14</v>
      </c>
      <c r="J58" s="22">
        <v>4</v>
      </c>
    </row>
    <row r="59" spans="1:10" x14ac:dyDescent="0.25">
      <c r="A59" s="22" t="s">
        <v>91</v>
      </c>
      <c r="B59" s="22" t="s">
        <v>120</v>
      </c>
      <c r="C59" s="22">
        <v>176</v>
      </c>
      <c r="D59" s="22">
        <v>128</v>
      </c>
      <c r="E59" s="22">
        <v>48</v>
      </c>
      <c r="F59" s="22">
        <v>4500</v>
      </c>
      <c r="G59" s="22">
        <v>5.8</v>
      </c>
      <c r="H59" s="22" t="s">
        <v>13</v>
      </c>
      <c r="I59" s="22" t="s">
        <v>14</v>
      </c>
      <c r="J59" s="22">
        <v>4.9000000000000004</v>
      </c>
    </row>
    <row r="60" spans="1:10" x14ac:dyDescent="0.25">
      <c r="A60" s="22" t="s">
        <v>16</v>
      </c>
      <c r="B60" s="22" t="s">
        <v>121</v>
      </c>
      <c r="C60" s="22">
        <v>178</v>
      </c>
      <c r="D60" s="22">
        <v>1024</v>
      </c>
      <c r="E60" s="22">
        <v>50</v>
      </c>
      <c r="F60" s="22">
        <v>5000</v>
      </c>
      <c r="G60" s="22">
        <v>6.3</v>
      </c>
      <c r="H60" s="22" t="s">
        <v>21</v>
      </c>
      <c r="I60" s="22" t="s">
        <v>14</v>
      </c>
      <c r="J60" s="22">
        <v>4.4000000000000004</v>
      </c>
    </row>
    <row r="61" spans="1:10" x14ac:dyDescent="0.25">
      <c r="A61" s="22" t="s">
        <v>11</v>
      </c>
      <c r="B61" s="22" t="s">
        <v>122</v>
      </c>
      <c r="C61" s="22">
        <v>179</v>
      </c>
      <c r="D61" s="22">
        <v>512</v>
      </c>
      <c r="E61" s="22">
        <v>108</v>
      </c>
      <c r="F61" s="22">
        <v>5500</v>
      </c>
      <c r="G61" s="22">
        <v>5.6</v>
      </c>
      <c r="H61" s="22" t="s">
        <v>21</v>
      </c>
      <c r="I61" s="22" t="s">
        <v>14</v>
      </c>
      <c r="J61" s="22">
        <v>4.2</v>
      </c>
    </row>
    <row r="62" spans="1:10" x14ac:dyDescent="0.25">
      <c r="A62" s="22" t="s">
        <v>16</v>
      </c>
      <c r="B62" s="22" t="s">
        <v>123</v>
      </c>
      <c r="C62" s="22">
        <v>179</v>
      </c>
      <c r="D62" s="22">
        <v>256</v>
      </c>
      <c r="E62" s="22">
        <v>200</v>
      </c>
      <c r="F62" s="22">
        <v>5000</v>
      </c>
      <c r="G62" s="22">
        <v>5.6</v>
      </c>
      <c r="H62" s="22" t="s">
        <v>13</v>
      </c>
      <c r="I62" s="22" t="s">
        <v>14</v>
      </c>
      <c r="J62" s="22">
        <v>4.3</v>
      </c>
    </row>
    <row r="63" spans="1:10" x14ac:dyDescent="0.25">
      <c r="A63" s="22" t="s">
        <v>91</v>
      </c>
      <c r="B63" s="22" t="s">
        <v>124</v>
      </c>
      <c r="C63" s="22">
        <v>179</v>
      </c>
      <c r="D63" s="22">
        <v>1024</v>
      </c>
      <c r="E63" s="22">
        <v>64</v>
      </c>
      <c r="F63" s="22">
        <v>5000</v>
      </c>
      <c r="G63" s="22">
        <v>5.6</v>
      </c>
      <c r="H63" s="22" t="s">
        <v>13</v>
      </c>
      <c r="I63" s="22" t="s">
        <v>14</v>
      </c>
      <c r="J63" s="22">
        <v>5</v>
      </c>
    </row>
    <row r="64" spans="1:10" x14ac:dyDescent="0.25">
      <c r="A64" s="22" t="s">
        <v>33</v>
      </c>
      <c r="B64" s="22" t="s">
        <v>125</v>
      </c>
      <c r="C64" s="22">
        <v>181</v>
      </c>
      <c r="D64" s="22">
        <v>512</v>
      </c>
      <c r="E64" s="22">
        <v>108</v>
      </c>
      <c r="F64" s="22">
        <v>4000</v>
      </c>
      <c r="G64" s="22">
        <v>6.7</v>
      </c>
      <c r="H64" s="22" t="s">
        <v>21</v>
      </c>
      <c r="I64" s="22" t="s">
        <v>14</v>
      </c>
      <c r="J64" s="22">
        <v>3.9</v>
      </c>
    </row>
    <row r="65" spans="1:10" x14ac:dyDescent="0.25">
      <c r="A65" s="22" t="s">
        <v>19</v>
      </c>
      <c r="B65" s="22" t="s">
        <v>126</v>
      </c>
      <c r="C65" s="22">
        <v>182</v>
      </c>
      <c r="D65" s="22">
        <v>64</v>
      </c>
      <c r="E65" s="22">
        <v>200</v>
      </c>
      <c r="F65" s="22">
        <v>5000</v>
      </c>
      <c r="G65" s="22">
        <v>6</v>
      </c>
      <c r="H65" s="22" t="s">
        <v>13</v>
      </c>
      <c r="I65" s="22" t="s">
        <v>14</v>
      </c>
      <c r="J65" s="22">
        <v>3.8</v>
      </c>
    </row>
    <row r="66" spans="1:10" x14ac:dyDescent="0.25">
      <c r="A66" s="22" t="s">
        <v>24</v>
      </c>
      <c r="B66" s="22" t="s">
        <v>127</v>
      </c>
      <c r="C66" s="22">
        <v>182</v>
      </c>
      <c r="D66" s="22">
        <v>128</v>
      </c>
      <c r="E66" s="22">
        <v>48</v>
      </c>
      <c r="F66" s="22">
        <v>5000</v>
      </c>
      <c r="G66" s="22">
        <v>5.6</v>
      </c>
      <c r="H66" s="22" t="s">
        <v>21</v>
      </c>
      <c r="I66" s="22" t="s">
        <v>14</v>
      </c>
      <c r="J66" s="22">
        <v>5</v>
      </c>
    </row>
    <row r="67" spans="1:10" x14ac:dyDescent="0.25">
      <c r="A67" s="22" t="s">
        <v>58</v>
      </c>
      <c r="B67" s="22" t="s">
        <v>128</v>
      </c>
      <c r="C67" s="22">
        <v>183</v>
      </c>
      <c r="D67" s="22">
        <v>128</v>
      </c>
      <c r="E67" s="22">
        <v>64</v>
      </c>
      <c r="F67" s="22">
        <v>6000</v>
      </c>
      <c r="G67" s="22">
        <v>7.2</v>
      </c>
      <c r="H67" s="22" t="s">
        <v>21</v>
      </c>
      <c r="I67" s="22" t="s">
        <v>60</v>
      </c>
      <c r="J67" s="22">
        <v>4.3</v>
      </c>
    </row>
    <row r="68" spans="1:10" x14ac:dyDescent="0.25">
      <c r="A68" s="22" t="s">
        <v>24</v>
      </c>
      <c r="B68" s="22" t="s">
        <v>129</v>
      </c>
      <c r="C68" s="22">
        <v>184</v>
      </c>
      <c r="D68" s="22">
        <v>512</v>
      </c>
      <c r="E68" s="22">
        <v>12</v>
      </c>
      <c r="F68" s="22">
        <v>4500</v>
      </c>
      <c r="G68" s="22">
        <v>6.9</v>
      </c>
      <c r="H68" s="22" t="s">
        <v>21</v>
      </c>
      <c r="I68" s="22" t="s">
        <v>14</v>
      </c>
      <c r="J68" s="22">
        <v>4.5</v>
      </c>
    </row>
    <row r="69" spans="1:10" x14ac:dyDescent="0.25">
      <c r="A69" s="22" t="s">
        <v>47</v>
      </c>
      <c r="B69" s="22" t="s">
        <v>130</v>
      </c>
      <c r="C69" s="22">
        <v>184</v>
      </c>
      <c r="D69" s="22">
        <v>1024</v>
      </c>
      <c r="E69" s="22">
        <v>108</v>
      </c>
      <c r="F69" s="22">
        <v>6000</v>
      </c>
      <c r="G69" s="22">
        <v>7</v>
      </c>
      <c r="H69" s="22" t="s">
        <v>13</v>
      </c>
      <c r="I69" s="22" t="s">
        <v>14</v>
      </c>
      <c r="J69" s="22">
        <v>3.6</v>
      </c>
    </row>
    <row r="70" spans="1:10" x14ac:dyDescent="0.25">
      <c r="A70" s="22" t="s">
        <v>58</v>
      </c>
      <c r="B70" s="22" t="s">
        <v>131</v>
      </c>
      <c r="C70" s="22">
        <v>186</v>
      </c>
      <c r="D70" s="22">
        <v>128</v>
      </c>
      <c r="E70" s="22">
        <v>64</v>
      </c>
      <c r="F70" s="22">
        <v>5500</v>
      </c>
      <c r="G70" s="22">
        <v>6.1</v>
      </c>
      <c r="H70" s="22" t="s">
        <v>21</v>
      </c>
      <c r="I70" s="22" t="s">
        <v>60</v>
      </c>
      <c r="J70" s="22">
        <v>4.9000000000000004</v>
      </c>
    </row>
    <row r="71" spans="1:10" x14ac:dyDescent="0.25">
      <c r="A71" s="22" t="s">
        <v>16</v>
      </c>
      <c r="B71" s="22" t="s">
        <v>132</v>
      </c>
      <c r="C71" s="22">
        <v>186</v>
      </c>
      <c r="D71" s="22">
        <v>512</v>
      </c>
      <c r="E71" s="22">
        <v>48</v>
      </c>
      <c r="F71" s="22">
        <v>6000</v>
      </c>
      <c r="G71" s="22">
        <v>6.9</v>
      </c>
      <c r="H71" s="22" t="s">
        <v>21</v>
      </c>
      <c r="I71" s="22" t="s">
        <v>14</v>
      </c>
      <c r="J71" s="22">
        <v>3.6</v>
      </c>
    </row>
    <row r="72" spans="1:10" x14ac:dyDescent="0.25">
      <c r="A72" s="22" t="s">
        <v>52</v>
      </c>
      <c r="B72" s="22" t="s">
        <v>133</v>
      </c>
      <c r="C72" s="22">
        <v>187</v>
      </c>
      <c r="D72" s="22">
        <v>1024</v>
      </c>
      <c r="E72" s="22">
        <v>200</v>
      </c>
      <c r="F72" s="22">
        <v>4000</v>
      </c>
      <c r="G72" s="22">
        <v>6.6</v>
      </c>
      <c r="H72" s="22" t="s">
        <v>21</v>
      </c>
      <c r="I72" s="22" t="s">
        <v>14</v>
      </c>
      <c r="J72" s="22">
        <v>4.8</v>
      </c>
    </row>
    <row r="73" spans="1:10" x14ac:dyDescent="0.25">
      <c r="A73" s="22" t="s">
        <v>16</v>
      </c>
      <c r="B73" s="22" t="s">
        <v>134</v>
      </c>
      <c r="C73" s="22">
        <v>188</v>
      </c>
      <c r="D73" s="22">
        <v>1024</v>
      </c>
      <c r="E73" s="22">
        <v>200</v>
      </c>
      <c r="F73" s="22">
        <v>5000</v>
      </c>
      <c r="G73" s="22">
        <v>6.7</v>
      </c>
      <c r="H73" s="22" t="s">
        <v>21</v>
      </c>
      <c r="I73" s="22" t="s">
        <v>14</v>
      </c>
      <c r="J73" s="22">
        <v>4.7</v>
      </c>
    </row>
    <row r="74" spans="1:10" x14ac:dyDescent="0.25">
      <c r="A74" s="22" t="s">
        <v>52</v>
      </c>
      <c r="B74" s="22" t="s">
        <v>135</v>
      </c>
      <c r="C74" s="22">
        <v>188</v>
      </c>
      <c r="D74" s="22">
        <v>512</v>
      </c>
      <c r="E74" s="22">
        <v>48</v>
      </c>
      <c r="F74" s="22">
        <v>5500</v>
      </c>
      <c r="G74" s="22">
        <v>6.3</v>
      </c>
      <c r="H74" s="22" t="s">
        <v>21</v>
      </c>
      <c r="I74" s="22" t="s">
        <v>14</v>
      </c>
      <c r="J74" s="22">
        <v>3.8</v>
      </c>
    </row>
    <row r="75" spans="1:10" x14ac:dyDescent="0.25">
      <c r="A75" s="22" t="s">
        <v>33</v>
      </c>
      <c r="B75" s="22" t="s">
        <v>136</v>
      </c>
      <c r="C75" s="22">
        <v>189</v>
      </c>
      <c r="D75" s="22">
        <v>512</v>
      </c>
      <c r="E75" s="22">
        <v>12</v>
      </c>
      <c r="F75" s="22">
        <v>5000</v>
      </c>
      <c r="G75" s="22">
        <v>6.8</v>
      </c>
      <c r="H75" s="22" t="s">
        <v>13</v>
      </c>
      <c r="I75" s="22" t="s">
        <v>14</v>
      </c>
      <c r="J75" s="22">
        <v>4.0999999999999996</v>
      </c>
    </row>
    <row r="76" spans="1:10" x14ac:dyDescent="0.25">
      <c r="A76" s="22" t="s">
        <v>24</v>
      </c>
      <c r="B76" s="22" t="s">
        <v>137</v>
      </c>
      <c r="C76" s="22">
        <v>189</v>
      </c>
      <c r="D76" s="22">
        <v>1024</v>
      </c>
      <c r="E76" s="22">
        <v>48</v>
      </c>
      <c r="F76" s="22">
        <v>4500</v>
      </c>
      <c r="G76" s="22">
        <v>6.5</v>
      </c>
      <c r="H76" s="22" t="s">
        <v>21</v>
      </c>
      <c r="I76" s="22" t="s">
        <v>14</v>
      </c>
      <c r="J76" s="22">
        <v>3.8</v>
      </c>
    </row>
    <row r="77" spans="1:10" x14ac:dyDescent="0.25">
      <c r="A77" s="22" t="s">
        <v>24</v>
      </c>
      <c r="B77" s="22" t="s">
        <v>138</v>
      </c>
      <c r="C77" s="22">
        <v>192</v>
      </c>
      <c r="D77" s="22">
        <v>64</v>
      </c>
      <c r="E77" s="22">
        <v>12</v>
      </c>
      <c r="F77" s="22">
        <v>5500</v>
      </c>
      <c r="G77" s="22">
        <v>5.7</v>
      </c>
      <c r="H77" s="22" t="s">
        <v>13</v>
      </c>
      <c r="I77" s="22" t="s">
        <v>14</v>
      </c>
      <c r="J77" s="22">
        <v>3.7</v>
      </c>
    </row>
    <row r="78" spans="1:10" x14ac:dyDescent="0.25">
      <c r="A78" s="22" t="s">
        <v>19</v>
      </c>
      <c r="B78" s="22" t="s">
        <v>139</v>
      </c>
      <c r="C78" s="22">
        <v>193</v>
      </c>
      <c r="D78" s="22">
        <v>64</v>
      </c>
      <c r="E78" s="22">
        <v>48</v>
      </c>
      <c r="F78" s="22">
        <v>5500</v>
      </c>
      <c r="G78" s="22">
        <v>6.6</v>
      </c>
      <c r="H78" s="22" t="s">
        <v>21</v>
      </c>
      <c r="I78" s="22" t="s">
        <v>14</v>
      </c>
      <c r="J78" s="22">
        <v>3.8</v>
      </c>
    </row>
    <row r="79" spans="1:10" x14ac:dyDescent="0.25">
      <c r="A79" s="22" t="s">
        <v>16</v>
      </c>
      <c r="B79" s="22" t="s">
        <v>140</v>
      </c>
      <c r="C79" s="22">
        <v>197</v>
      </c>
      <c r="D79" s="22">
        <v>256</v>
      </c>
      <c r="E79" s="22">
        <v>64</v>
      </c>
      <c r="F79" s="22">
        <v>4500</v>
      </c>
      <c r="G79" s="22">
        <v>6.9</v>
      </c>
      <c r="H79" s="22" t="s">
        <v>13</v>
      </c>
      <c r="I79" s="22" t="s">
        <v>14</v>
      </c>
      <c r="J79" s="22">
        <v>4.5</v>
      </c>
    </row>
    <row r="80" spans="1:10" x14ac:dyDescent="0.25">
      <c r="A80" s="22" t="s">
        <v>16</v>
      </c>
      <c r="B80" s="22" t="s">
        <v>141</v>
      </c>
      <c r="C80" s="22">
        <v>202</v>
      </c>
      <c r="D80" s="22">
        <v>128</v>
      </c>
      <c r="E80" s="22">
        <v>48</v>
      </c>
      <c r="F80" s="22">
        <v>5500</v>
      </c>
      <c r="G80" s="22">
        <v>5.9</v>
      </c>
      <c r="H80" s="22" t="s">
        <v>13</v>
      </c>
      <c r="I80" s="22" t="s">
        <v>14</v>
      </c>
      <c r="J80" s="22">
        <v>3.7</v>
      </c>
    </row>
    <row r="81" spans="1:10" x14ac:dyDescent="0.25">
      <c r="A81" s="22" t="s">
        <v>52</v>
      </c>
      <c r="B81" s="22" t="s">
        <v>142</v>
      </c>
      <c r="C81" s="22">
        <v>202</v>
      </c>
      <c r="D81" s="22">
        <v>256</v>
      </c>
      <c r="E81" s="22">
        <v>64</v>
      </c>
      <c r="F81" s="22">
        <v>5000</v>
      </c>
      <c r="G81" s="22">
        <v>6</v>
      </c>
      <c r="H81" s="22" t="s">
        <v>13</v>
      </c>
      <c r="I81" s="22" t="s">
        <v>14</v>
      </c>
      <c r="J81" s="22">
        <v>4</v>
      </c>
    </row>
    <row r="82" spans="1:10" x14ac:dyDescent="0.25">
      <c r="A82" s="22" t="s">
        <v>52</v>
      </c>
      <c r="B82" s="22" t="s">
        <v>143</v>
      </c>
      <c r="C82" s="22">
        <v>204</v>
      </c>
      <c r="D82" s="22">
        <v>64</v>
      </c>
      <c r="E82" s="22">
        <v>48</v>
      </c>
      <c r="F82" s="22">
        <v>5000</v>
      </c>
      <c r="G82" s="22">
        <v>6.1</v>
      </c>
      <c r="H82" s="22" t="s">
        <v>21</v>
      </c>
      <c r="I82" s="22" t="s">
        <v>14</v>
      </c>
      <c r="J82" s="22">
        <v>4.3</v>
      </c>
    </row>
    <row r="83" spans="1:10" x14ac:dyDescent="0.25">
      <c r="A83" s="22" t="s">
        <v>33</v>
      </c>
      <c r="B83" s="22" t="s">
        <v>144</v>
      </c>
      <c r="C83" s="22">
        <v>205</v>
      </c>
      <c r="D83" s="22">
        <v>512</v>
      </c>
      <c r="E83" s="22">
        <v>12</v>
      </c>
      <c r="F83" s="22">
        <v>6000</v>
      </c>
      <c r="G83" s="22">
        <v>7.1</v>
      </c>
      <c r="H83" s="22" t="s">
        <v>21</v>
      </c>
      <c r="I83" s="22" t="s">
        <v>14</v>
      </c>
      <c r="J83" s="22">
        <v>4.5999999999999996</v>
      </c>
    </row>
    <row r="84" spans="1:10" x14ac:dyDescent="0.25">
      <c r="A84" s="22" t="s">
        <v>11</v>
      </c>
      <c r="B84" s="22" t="s">
        <v>145</v>
      </c>
      <c r="C84" s="22">
        <v>208</v>
      </c>
      <c r="D84" s="22">
        <v>128</v>
      </c>
      <c r="E84" s="22">
        <v>200</v>
      </c>
      <c r="F84" s="22">
        <v>6000</v>
      </c>
      <c r="G84" s="22">
        <v>7.1</v>
      </c>
      <c r="H84" s="22" t="s">
        <v>13</v>
      </c>
      <c r="I84" s="22" t="s">
        <v>14</v>
      </c>
      <c r="J84" s="22">
        <v>4.3</v>
      </c>
    </row>
    <row r="85" spans="1:10" x14ac:dyDescent="0.25">
      <c r="A85" s="22" t="s">
        <v>16</v>
      </c>
      <c r="B85" s="22" t="s">
        <v>146</v>
      </c>
      <c r="C85" s="22">
        <v>209</v>
      </c>
      <c r="D85" s="22">
        <v>64</v>
      </c>
      <c r="E85" s="22">
        <v>200</v>
      </c>
      <c r="F85" s="22">
        <v>5000</v>
      </c>
      <c r="G85" s="22">
        <v>6.1</v>
      </c>
      <c r="H85" s="22" t="s">
        <v>13</v>
      </c>
      <c r="I85" s="22" t="s">
        <v>14</v>
      </c>
      <c r="J85" s="22">
        <v>4.2</v>
      </c>
    </row>
    <row r="86" spans="1:10" x14ac:dyDescent="0.25">
      <c r="A86" s="22" t="s">
        <v>33</v>
      </c>
      <c r="B86" s="22" t="s">
        <v>147</v>
      </c>
      <c r="C86" s="22">
        <v>210</v>
      </c>
      <c r="D86" s="22">
        <v>128</v>
      </c>
      <c r="E86" s="22">
        <v>64</v>
      </c>
      <c r="F86" s="22">
        <v>6000</v>
      </c>
      <c r="G86" s="22">
        <v>6.6</v>
      </c>
      <c r="H86" s="22" t="s">
        <v>21</v>
      </c>
      <c r="I86" s="22" t="s">
        <v>14</v>
      </c>
      <c r="J86" s="22">
        <v>3.9</v>
      </c>
    </row>
    <row r="87" spans="1:10" x14ac:dyDescent="0.25">
      <c r="A87" s="22" t="s">
        <v>33</v>
      </c>
      <c r="B87" s="22" t="s">
        <v>148</v>
      </c>
      <c r="C87" s="22">
        <v>210</v>
      </c>
      <c r="D87" s="22">
        <v>512</v>
      </c>
      <c r="E87" s="22">
        <v>64</v>
      </c>
      <c r="F87" s="22">
        <v>5000</v>
      </c>
      <c r="G87" s="22">
        <v>6.2</v>
      </c>
      <c r="H87" s="22" t="s">
        <v>21</v>
      </c>
      <c r="I87" s="22" t="s">
        <v>14</v>
      </c>
      <c r="J87" s="22">
        <v>3.9</v>
      </c>
    </row>
    <row r="88" spans="1:10" x14ac:dyDescent="0.25">
      <c r="A88" s="22" t="s">
        <v>11</v>
      </c>
      <c r="B88" s="22" t="s">
        <v>149</v>
      </c>
      <c r="C88" s="22">
        <v>212</v>
      </c>
      <c r="D88" s="22">
        <v>512</v>
      </c>
      <c r="E88" s="22">
        <v>108</v>
      </c>
      <c r="F88" s="22">
        <v>6000</v>
      </c>
      <c r="G88" s="22">
        <v>7.1</v>
      </c>
      <c r="H88" s="22" t="s">
        <v>13</v>
      </c>
      <c r="I88" s="22" t="s">
        <v>14</v>
      </c>
      <c r="J88" s="22">
        <v>4.3</v>
      </c>
    </row>
    <row r="89" spans="1:10" x14ac:dyDescent="0.25">
      <c r="A89" s="22" t="s">
        <v>11</v>
      </c>
      <c r="B89" s="22" t="s">
        <v>150</v>
      </c>
      <c r="C89" s="22">
        <v>213</v>
      </c>
      <c r="D89" s="22">
        <v>256</v>
      </c>
      <c r="E89" s="22">
        <v>200</v>
      </c>
      <c r="F89" s="22">
        <v>5500</v>
      </c>
      <c r="G89" s="22">
        <v>6.2</v>
      </c>
      <c r="H89" s="22" t="s">
        <v>21</v>
      </c>
      <c r="I89" s="22" t="s">
        <v>14</v>
      </c>
      <c r="J89" s="22">
        <v>4.2</v>
      </c>
    </row>
    <row r="90" spans="1:10" x14ac:dyDescent="0.25">
      <c r="A90" s="22" t="s">
        <v>91</v>
      </c>
      <c r="B90" s="22" t="s">
        <v>151</v>
      </c>
      <c r="C90" s="22">
        <v>218</v>
      </c>
      <c r="D90" s="22">
        <v>256</v>
      </c>
      <c r="E90" s="22">
        <v>108</v>
      </c>
      <c r="F90" s="22">
        <v>4500</v>
      </c>
      <c r="G90" s="22">
        <v>6.6</v>
      </c>
      <c r="H90" s="22" t="s">
        <v>13</v>
      </c>
      <c r="I90" s="22" t="s">
        <v>14</v>
      </c>
      <c r="J90" s="22">
        <v>4.4000000000000004</v>
      </c>
    </row>
    <row r="91" spans="1:10" x14ac:dyDescent="0.25">
      <c r="A91" s="22" t="s">
        <v>11</v>
      </c>
      <c r="B91" s="22" t="s">
        <v>152</v>
      </c>
      <c r="C91" s="22">
        <v>221</v>
      </c>
      <c r="D91" s="22">
        <v>64</v>
      </c>
      <c r="E91" s="22">
        <v>50</v>
      </c>
      <c r="F91" s="22">
        <v>5500</v>
      </c>
      <c r="G91" s="22">
        <v>5.5</v>
      </c>
      <c r="H91" s="22" t="s">
        <v>21</v>
      </c>
      <c r="I91" s="22" t="s">
        <v>14</v>
      </c>
      <c r="J91" s="22">
        <v>4.4000000000000004</v>
      </c>
    </row>
    <row r="92" spans="1:10" x14ac:dyDescent="0.25">
      <c r="A92" s="22" t="s">
        <v>33</v>
      </c>
      <c r="B92" s="22" t="s">
        <v>153</v>
      </c>
      <c r="C92" s="22">
        <v>223</v>
      </c>
      <c r="D92" s="22">
        <v>512</v>
      </c>
      <c r="E92" s="22">
        <v>200</v>
      </c>
      <c r="F92" s="22">
        <v>5500</v>
      </c>
      <c r="G92" s="22">
        <v>6.3</v>
      </c>
      <c r="H92" s="22" t="s">
        <v>21</v>
      </c>
      <c r="I92" s="22" t="s">
        <v>14</v>
      </c>
      <c r="J92" s="22">
        <v>4.9000000000000004</v>
      </c>
    </row>
    <row r="93" spans="1:10" x14ac:dyDescent="0.25">
      <c r="A93" s="22" t="s">
        <v>16</v>
      </c>
      <c r="B93" s="22" t="s">
        <v>154</v>
      </c>
      <c r="C93" s="22">
        <v>224</v>
      </c>
      <c r="D93" s="22">
        <v>512</v>
      </c>
      <c r="E93" s="22">
        <v>12</v>
      </c>
      <c r="F93" s="22">
        <v>5000</v>
      </c>
      <c r="G93" s="22">
        <v>6.8</v>
      </c>
      <c r="H93" s="22" t="s">
        <v>21</v>
      </c>
      <c r="I93" s="22" t="s">
        <v>14</v>
      </c>
      <c r="J93" s="22">
        <v>4.3</v>
      </c>
    </row>
    <row r="94" spans="1:10" x14ac:dyDescent="0.25">
      <c r="A94" s="22" t="s">
        <v>52</v>
      </c>
      <c r="B94" s="22" t="s">
        <v>155</v>
      </c>
      <c r="C94" s="22">
        <v>225</v>
      </c>
      <c r="D94" s="22">
        <v>1024</v>
      </c>
      <c r="E94" s="22">
        <v>108</v>
      </c>
      <c r="F94" s="22">
        <v>5000</v>
      </c>
      <c r="G94" s="22">
        <v>7</v>
      </c>
      <c r="H94" s="22" t="s">
        <v>13</v>
      </c>
      <c r="I94" s="22" t="s">
        <v>14</v>
      </c>
      <c r="J94" s="22">
        <v>4.5</v>
      </c>
    </row>
    <row r="95" spans="1:10" x14ac:dyDescent="0.25">
      <c r="A95" s="22" t="s">
        <v>58</v>
      </c>
      <c r="B95" s="22" t="s">
        <v>156</v>
      </c>
      <c r="C95" s="22">
        <v>225</v>
      </c>
      <c r="D95" s="22">
        <v>1024</v>
      </c>
      <c r="E95" s="22">
        <v>48</v>
      </c>
      <c r="F95" s="22">
        <v>5000</v>
      </c>
      <c r="G95" s="22">
        <v>7.2</v>
      </c>
      <c r="H95" s="22" t="s">
        <v>21</v>
      </c>
      <c r="I95" s="22" t="s">
        <v>60</v>
      </c>
      <c r="J95" s="22">
        <v>3.9</v>
      </c>
    </row>
    <row r="96" spans="1:10" x14ac:dyDescent="0.25">
      <c r="A96" s="22" t="s">
        <v>52</v>
      </c>
      <c r="B96" s="22" t="s">
        <v>157</v>
      </c>
      <c r="C96" s="22">
        <v>227</v>
      </c>
      <c r="D96" s="22">
        <v>64</v>
      </c>
      <c r="E96" s="22">
        <v>12</v>
      </c>
      <c r="F96" s="22">
        <v>5000</v>
      </c>
      <c r="G96" s="22">
        <v>5.8</v>
      </c>
      <c r="H96" s="22" t="s">
        <v>21</v>
      </c>
      <c r="I96" s="22" t="s">
        <v>14</v>
      </c>
      <c r="J96" s="22">
        <v>4.0999999999999996</v>
      </c>
    </row>
    <row r="97" spans="1:10" x14ac:dyDescent="0.25">
      <c r="A97" s="22" t="s">
        <v>91</v>
      </c>
      <c r="B97" s="22" t="s">
        <v>158</v>
      </c>
      <c r="C97" s="22">
        <v>230</v>
      </c>
      <c r="D97" s="22">
        <v>512</v>
      </c>
      <c r="E97" s="22">
        <v>50</v>
      </c>
      <c r="F97" s="22">
        <v>4500</v>
      </c>
      <c r="G97" s="22">
        <v>6.2</v>
      </c>
      <c r="H97" s="22" t="s">
        <v>13</v>
      </c>
      <c r="I97" s="22" t="s">
        <v>14</v>
      </c>
      <c r="J97" s="22">
        <v>5</v>
      </c>
    </row>
    <row r="98" spans="1:10" x14ac:dyDescent="0.25">
      <c r="A98" s="22" t="s">
        <v>91</v>
      </c>
      <c r="B98" s="22" t="s">
        <v>159</v>
      </c>
      <c r="C98" s="22">
        <v>230</v>
      </c>
      <c r="D98" s="22">
        <v>256</v>
      </c>
      <c r="E98" s="22">
        <v>108</v>
      </c>
      <c r="F98" s="22">
        <v>4500</v>
      </c>
      <c r="G98" s="22">
        <v>6.4</v>
      </c>
      <c r="H98" s="22" t="s">
        <v>13</v>
      </c>
      <c r="I98" s="22" t="s">
        <v>14</v>
      </c>
      <c r="J98" s="22">
        <v>3.7</v>
      </c>
    </row>
    <row r="99" spans="1:10" x14ac:dyDescent="0.25">
      <c r="A99" s="22" t="s">
        <v>19</v>
      </c>
      <c r="B99" s="22" t="s">
        <v>160</v>
      </c>
      <c r="C99" s="22">
        <v>230</v>
      </c>
      <c r="D99" s="22">
        <v>1024</v>
      </c>
      <c r="E99" s="22">
        <v>64</v>
      </c>
      <c r="F99" s="22">
        <v>4000</v>
      </c>
      <c r="G99" s="22">
        <v>7</v>
      </c>
      <c r="H99" s="22" t="s">
        <v>13</v>
      </c>
      <c r="I99" s="22" t="s">
        <v>14</v>
      </c>
      <c r="J99" s="22">
        <v>4.2</v>
      </c>
    </row>
    <row r="100" spans="1:10" x14ac:dyDescent="0.25">
      <c r="A100" s="22" t="s">
        <v>11</v>
      </c>
      <c r="B100" s="22" t="s">
        <v>161</v>
      </c>
      <c r="C100" s="22">
        <v>231</v>
      </c>
      <c r="D100" s="22">
        <v>256</v>
      </c>
      <c r="E100" s="22">
        <v>200</v>
      </c>
      <c r="F100" s="22">
        <v>5500</v>
      </c>
      <c r="G100" s="22">
        <v>5.7</v>
      </c>
      <c r="H100" s="22" t="s">
        <v>21</v>
      </c>
      <c r="I100" s="22" t="s">
        <v>14</v>
      </c>
      <c r="J100" s="22">
        <v>4.3</v>
      </c>
    </row>
    <row r="101" spans="1:10" x14ac:dyDescent="0.25">
      <c r="A101" s="22" t="s">
        <v>33</v>
      </c>
      <c r="B101" s="22" t="s">
        <v>162</v>
      </c>
      <c r="C101" s="22">
        <v>231</v>
      </c>
      <c r="D101" s="22">
        <v>1024</v>
      </c>
      <c r="E101" s="22">
        <v>48</v>
      </c>
      <c r="F101" s="22">
        <v>5000</v>
      </c>
      <c r="G101" s="22">
        <v>5.9</v>
      </c>
      <c r="H101" s="22" t="s">
        <v>13</v>
      </c>
      <c r="I101" s="22" t="s">
        <v>14</v>
      </c>
      <c r="J101" s="22">
        <v>4.0999999999999996</v>
      </c>
    </row>
    <row r="102" spans="1:10" x14ac:dyDescent="0.25">
      <c r="A102" s="22" t="s">
        <v>47</v>
      </c>
      <c r="B102" s="22" t="s">
        <v>163</v>
      </c>
      <c r="C102" s="22">
        <v>232</v>
      </c>
      <c r="D102" s="22">
        <v>1024</v>
      </c>
      <c r="E102" s="22">
        <v>200</v>
      </c>
      <c r="F102" s="22">
        <v>6000</v>
      </c>
      <c r="G102" s="22">
        <v>6.7</v>
      </c>
      <c r="H102" s="22" t="s">
        <v>13</v>
      </c>
      <c r="I102" s="22" t="s">
        <v>14</v>
      </c>
      <c r="J102" s="22">
        <v>4.9000000000000004</v>
      </c>
    </row>
    <row r="103" spans="1:10" x14ac:dyDescent="0.25">
      <c r="A103" s="22" t="s">
        <v>11</v>
      </c>
      <c r="B103" s="22" t="s">
        <v>164</v>
      </c>
      <c r="C103" s="22">
        <v>234</v>
      </c>
      <c r="D103" s="22">
        <v>128</v>
      </c>
      <c r="E103" s="22">
        <v>200</v>
      </c>
      <c r="F103" s="22">
        <v>6000</v>
      </c>
      <c r="G103" s="22">
        <v>6.3</v>
      </c>
      <c r="H103" s="22" t="s">
        <v>21</v>
      </c>
      <c r="I103" s="22" t="s">
        <v>14</v>
      </c>
      <c r="J103" s="22">
        <v>5</v>
      </c>
    </row>
    <row r="104" spans="1:10" x14ac:dyDescent="0.25">
      <c r="A104" s="22" t="s">
        <v>19</v>
      </c>
      <c r="B104" s="22" t="s">
        <v>165</v>
      </c>
      <c r="C104" s="22">
        <v>235</v>
      </c>
      <c r="D104" s="22">
        <v>512</v>
      </c>
      <c r="E104" s="22">
        <v>108</v>
      </c>
      <c r="F104" s="22">
        <v>6000</v>
      </c>
      <c r="G104" s="22">
        <v>6.1</v>
      </c>
      <c r="H104" s="22" t="s">
        <v>13</v>
      </c>
      <c r="I104" s="22" t="s">
        <v>14</v>
      </c>
      <c r="J104" s="22">
        <v>4.7</v>
      </c>
    </row>
    <row r="105" spans="1:10" x14ac:dyDescent="0.25">
      <c r="A105" s="22" t="s">
        <v>11</v>
      </c>
      <c r="B105" s="22" t="s">
        <v>166</v>
      </c>
      <c r="C105" s="22">
        <v>236</v>
      </c>
      <c r="D105" s="22">
        <v>1024</v>
      </c>
      <c r="E105" s="22">
        <v>50</v>
      </c>
      <c r="F105" s="22">
        <v>6000</v>
      </c>
      <c r="G105" s="22">
        <v>6.8</v>
      </c>
      <c r="H105" s="22" t="s">
        <v>21</v>
      </c>
      <c r="I105" s="22" t="s">
        <v>14</v>
      </c>
      <c r="J105" s="22">
        <v>4.5</v>
      </c>
    </row>
    <row r="106" spans="1:10" x14ac:dyDescent="0.25">
      <c r="A106" s="22" t="s">
        <v>91</v>
      </c>
      <c r="B106" s="22" t="s">
        <v>167</v>
      </c>
      <c r="C106" s="22">
        <v>238</v>
      </c>
      <c r="D106" s="22">
        <v>1024</v>
      </c>
      <c r="E106" s="22">
        <v>108</v>
      </c>
      <c r="F106" s="22">
        <v>5000</v>
      </c>
      <c r="G106" s="22">
        <v>6.1</v>
      </c>
      <c r="H106" s="22" t="s">
        <v>13</v>
      </c>
      <c r="I106" s="22" t="s">
        <v>14</v>
      </c>
      <c r="J106" s="22">
        <v>5</v>
      </c>
    </row>
    <row r="107" spans="1:10" x14ac:dyDescent="0.25">
      <c r="A107" s="22" t="s">
        <v>19</v>
      </c>
      <c r="B107" s="22" t="s">
        <v>168</v>
      </c>
      <c r="C107" s="22">
        <v>238</v>
      </c>
      <c r="D107" s="22">
        <v>1024</v>
      </c>
      <c r="E107" s="22">
        <v>50</v>
      </c>
      <c r="F107" s="22">
        <v>4500</v>
      </c>
      <c r="G107" s="22">
        <v>7.1</v>
      </c>
      <c r="H107" s="22" t="s">
        <v>13</v>
      </c>
      <c r="I107" s="22" t="s">
        <v>14</v>
      </c>
      <c r="J107" s="22">
        <v>4.3</v>
      </c>
    </row>
    <row r="108" spans="1:10" x14ac:dyDescent="0.25">
      <c r="A108" s="22" t="s">
        <v>16</v>
      </c>
      <c r="B108" s="22" t="s">
        <v>169</v>
      </c>
      <c r="C108" s="22">
        <v>238</v>
      </c>
      <c r="D108" s="22">
        <v>1024</v>
      </c>
      <c r="E108" s="22">
        <v>108</v>
      </c>
      <c r="F108" s="22">
        <v>5500</v>
      </c>
      <c r="G108" s="22">
        <v>5.7</v>
      </c>
      <c r="H108" s="22" t="s">
        <v>13</v>
      </c>
      <c r="I108" s="22" t="s">
        <v>14</v>
      </c>
      <c r="J108" s="22">
        <v>4.8</v>
      </c>
    </row>
    <row r="109" spans="1:10" x14ac:dyDescent="0.25">
      <c r="A109" s="22" t="s">
        <v>19</v>
      </c>
      <c r="B109" s="22" t="s">
        <v>170</v>
      </c>
      <c r="C109" s="22">
        <v>239</v>
      </c>
      <c r="D109" s="22">
        <v>256</v>
      </c>
      <c r="E109" s="22">
        <v>12</v>
      </c>
      <c r="F109" s="22">
        <v>6000</v>
      </c>
      <c r="G109" s="22">
        <v>7</v>
      </c>
      <c r="H109" s="22" t="s">
        <v>13</v>
      </c>
      <c r="I109" s="22" t="s">
        <v>14</v>
      </c>
      <c r="J109" s="22">
        <v>4.4000000000000004</v>
      </c>
    </row>
    <row r="110" spans="1:10" x14ac:dyDescent="0.25">
      <c r="A110" s="22" t="s">
        <v>19</v>
      </c>
      <c r="B110" s="22" t="s">
        <v>171</v>
      </c>
      <c r="C110" s="22">
        <v>241</v>
      </c>
      <c r="D110" s="22">
        <v>512</v>
      </c>
      <c r="E110" s="22">
        <v>48</v>
      </c>
      <c r="F110" s="22">
        <v>5500</v>
      </c>
      <c r="G110" s="22">
        <v>6.5</v>
      </c>
      <c r="H110" s="22" t="s">
        <v>13</v>
      </c>
      <c r="I110" s="22" t="s">
        <v>14</v>
      </c>
      <c r="J110" s="22">
        <v>4.4000000000000004</v>
      </c>
    </row>
    <row r="111" spans="1:10" x14ac:dyDescent="0.25">
      <c r="A111" s="22" t="s">
        <v>47</v>
      </c>
      <c r="B111" s="22" t="s">
        <v>172</v>
      </c>
      <c r="C111" s="22">
        <v>245</v>
      </c>
      <c r="D111" s="22">
        <v>256</v>
      </c>
      <c r="E111" s="22">
        <v>48</v>
      </c>
      <c r="F111" s="22">
        <v>4500</v>
      </c>
      <c r="G111" s="22">
        <v>6.2</v>
      </c>
      <c r="H111" s="22" t="s">
        <v>21</v>
      </c>
      <c r="I111" s="22" t="s">
        <v>14</v>
      </c>
      <c r="J111" s="22">
        <v>5</v>
      </c>
    </row>
    <row r="112" spans="1:10" x14ac:dyDescent="0.25">
      <c r="A112" s="22" t="s">
        <v>11</v>
      </c>
      <c r="B112" s="22" t="s">
        <v>173</v>
      </c>
      <c r="C112" s="22">
        <v>246</v>
      </c>
      <c r="D112" s="22">
        <v>512</v>
      </c>
      <c r="E112" s="22">
        <v>200</v>
      </c>
      <c r="F112" s="22">
        <v>6000</v>
      </c>
      <c r="G112" s="22">
        <v>6.1</v>
      </c>
      <c r="H112" s="22" t="s">
        <v>13</v>
      </c>
      <c r="I112" s="22" t="s">
        <v>14</v>
      </c>
      <c r="J112" s="22">
        <v>3.9</v>
      </c>
    </row>
    <row r="113" spans="1:10" x14ac:dyDescent="0.25">
      <c r="A113" s="22" t="s">
        <v>33</v>
      </c>
      <c r="B113" s="22" t="s">
        <v>174</v>
      </c>
      <c r="C113" s="22">
        <v>246</v>
      </c>
      <c r="D113" s="22">
        <v>128</v>
      </c>
      <c r="E113" s="22">
        <v>50</v>
      </c>
      <c r="F113" s="22">
        <v>4000</v>
      </c>
      <c r="G113" s="22">
        <v>5.9</v>
      </c>
      <c r="H113" s="22" t="s">
        <v>13</v>
      </c>
      <c r="I113" s="22" t="s">
        <v>14</v>
      </c>
      <c r="J113" s="22">
        <v>4.4000000000000004</v>
      </c>
    </row>
    <row r="114" spans="1:10" x14ac:dyDescent="0.25">
      <c r="A114" s="22" t="s">
        <v>91</v>
      </c>
      <c r="B114" s="22" t="s">
        <v>175</v>
      </c>
      <c r="C114" s="22">
        <v>247</v>
      </c>
      <c r="D114" s="22">
        <v>128</v>
      </c>
      <c r="E114" s="22">
        <v>50</v>
      </c>
      <c r="F114" s="22">
        <v>4500</v>
      </c>
      <c r="G114" s="22">
        <v>7.1</v>
      </c>
      <c r="H114" s="22" t="s">
        <v>21</v>
      </c>
      <c r="I114" s="22" t="s">
        <v>14</v>
      </c>
      <c r="J114" s="22">
        <v>4</v>
      </c>
    </row>
    <row r="115" spans="1:10" x14ac:dyDescent="0.25">
      <c r="A115" s="22" t="s">
        <v>19</v>
      </c>
      <c r="B115" s="22" t="s">
        <v>176</v>
      </c>
      <c r="C115" s="22">
        <v>247</v>
      </c>
      <c r="D115" s="22">
        <v>256</v>
      </c>
      <c r="E115" s="22">
        <v>64</v>
      </c>
      <c r="F115" s="22">
        <v>5500</v>
      </c>
      <c r="G115" s="22">
        <v>6.2</v>
      </c>
      <c r="H115" s="22" t="s">
        <v>13</v>
      </c>
      <c r="I115" s="22" t="s">
        <v>14</v>
      </c>
      <c r="J115" s="22">
        <v>4.3</v>
      </c>
    </row>
    <row r="116" spans="1:10" x14ac:dyDescent="0.25">
      <c r="A116" s="22" t="s">
        <v>52</v>
      </c>
      <c r="B116" s="22" t="s">
        <v>177</v>
      </c>
      <c r="C116" s="22">
        <v>253</v>
      </c>
      <c r="D116" s="22">
        <v>256</v>
      </c>
      <c r="E116" s="22">
        <v>12</v>
      </c>
      <c r="F116" s="22">
        <v>4500</v>
      </c>
      <c r="G116" s="22">
        <v>6.7</v>
      </c>
      <c r="H116" s="22" t="s">
        <v>21</v>
      </c>
      <c r="I116" s="22" t="s">
        <v>14</v>
      </c>
      <c r="J116" s="22">
        <v>4.4000000000000004</v>
      </c>
    </row>
    <row r="117" spans="1:10" x14ac:dyDescent="0.25">
      <c r="A117" s="22" t="s">
        <v>19</v>
      </c>
      <c r="B117" s="22" t="s">
        <v>178</v>
      </c>
      <c r="C117" s="22">
        <v>254</v>
      </c>
      <c r="D117" s="22">
        <v>64</v>
      </c>
      <c r="E117" s="22">
        <v>48</v>
      </c>
      <c r="F117" s="22">
        <v>6000</v>
      </c>
      <c r="G117" s="22">
        <v>6.7</v>
      </c>
      <c r="H117" s="22" t="s">
        <v>13</v>
      </c>
      <c r="I117" s="22" t="s">
        <v>14</v>
      </c>
      <c r="J117" s="22">
        <v>4.9000000000000004</v>
      </c>
    </row>
    <row r="118" spans="1:10" x14ac:dyDescent="0.25">
      <c r="A118" s="22" t="s">
        <v>47</v>
      </c>
      <c r="B118" s="22" t="s">
        <v>179</v>
      </c>
      <c r="C118" s="22">
        <v>255</v>
      </c>
      <c r="D118" s="22">
        <v>64</v>
      </c>
      <c r="E118" s="22">
        <v>200</v>
      </c>
      <c r="F118" s="22">
        <v>6000</v>
      </c>
      <c r="G118" s="22">
        <v>6.7</v>
      </c>
      <c r="H118" s="22" t="s">
        <v>21</v>
      </c>
      <c r="I118" s="22" t="s">
        <v>14</v>
      </c>
      <c r="J118" s="22">
        <v>4.5999999999999996</v>
      </c>
    </row>
    <row r="119" spans="1:10" x14ac:dyDescent="0.25">
      <c r="A119" s="22" t="s">
        <v>91</v>
      </c>
      <c r="B119" s="22" t="s">
        <v>180</v>
      </c>
      <c r="C119" s="22">
        <v>255</v>
      </c>
      <c r="D119" s="22">
        <v>512</v>
      </c>
      <c r="E119" s="22">
        <v>64</v>
      </c>
      <c r="F119" s="22">
        <v>6000</v>
      </c>
      <c r="G119" s="22">
        <v>6.7</v>
      </c>
      <c r="H119" s="22" t="s">
        <v>13</v>
      </c>
      <c r="I119" s="22" t="s">
        <v>14</v>
      </c>
      <c r="J119" s="22">
        <v>4.5999999999999996</v>
      </c>
    </row>
    <row r="120" spans="1:10" x14ac:dyDescent="0.25">
      <c r="A120" s="22" t="s">
        <v>11</v>
      </c>
      <c r="B120" s="22" t="s">
        <v>181</v>
      </c>
      <c r="C120" s="22">
        <v>256</v>
      </c>
      <c r="D120" s="22">
        <v>512</v>
      </c>
      <c r="E120" s="22">
        <v>12</v>
      </c>
      <c r="F120" s="22">
        <v>5000</v>
      </c>
      <c r="G120" s="22">
        <v>6.5</v>
      </c>
      <c r="H120" s="22" t="s">
        <v>13</v>
      </c>
      <c r="I120" s="22" t="s">
        <v>14</v>
      </c>
      <c r="J120" s="22">
        <v>3.9</v>
      </c>
    </row>
    <row r="121" spans="1:10" x14ac:dyDescent="0.25">
      <c r="A121" s="22" t="s">
        <v>19</v>
      </c>
      <c r="B121" s="22" t="s">
        <v>182</v>
      </c>
      <c r="C121" s="22">
        <v>256</v>
      </c>
      <c r="D121" s="22">
        <v>1024</v>
      </c>
      <c r="E121" s="22">
        <v>48</v>
      </c>
      <c r="F121" s="22">
        <v>4500</v>
      </c>
      <c r="G121" s="22">
        <v>6.8</v>
      </c>
      <c r="H121" s="22" t="s">
        <v>13</v>
      </c>
      <c r="I121" s="22" t="s">
        <v>14</v>
      </c>
      <c r="J121" s="22">
        <v>3.7</v>
      </c>
    </row>
    <row r="122" spans="1:10" x14ac:dyDescent="0.25">
      <c r="A122" s="22" t="s">
        <v>19</v>
      </c>
      <c r="B122" s="22" t="s">
        <v>183</v>
      </c>
      <c r="C122" s="22">
        <v>258</v>
      </c>
      <c r="D122" s="22">
        <v>64</v>
      </c>
      <c r="E122" s="22">
        <v>64</v>
      </c>
      <c r="F122" s="22">
        <v>4000</v>
      </c>
      <c r="G122" s="22">
        <v>6.8</v>
      </c>
      <c r="H122" s="22" t="s">
        <v>21</v>
      </c>
      <c r="I122" s="22" t="s">
        <v>14</v>
      </c>
      <c r="J122" s="22">
        <v>4.0999999999999996</v>
      </c>
    </row>
    <row r="123" spans="1:10" x14ac:dyDescent="0.25">
      <c r="A123" s="22" t="s">
        <v>16</v>
      </c>
      <c r="B123" s="22" t="s">
        <v>184</v>
      </c>
      <c r="C123" s="22">
        <v>258</v>
      </c>
      <c r="D123" s="22">
        <v>256</v>
      </c>
      <c r="E123" s="22">
        <v>108</v>
      </c>
      <c r="F123" s="22">
        <v>5500</v>
      </c>
      <c r="G123" s="22">
        <v>7.2</v>
      </c>
      <c r="H123" s="22" t="s">
        <v>21</v>
      </c>
      <c r="I123" s="22" t="s">
        <v>14</v>
      </c>
      <c r="J123" s="22">
        <v>4.5</v>
      </c>
    </row>
    <row r="124" spans="1:10" x14ac:dyDescent="0.25">
      <c r="A124" s="22" t="s">
        <v>58</v>
      </c>
      <c r="B124" s="22" t="s">
        <v>185</v>
      </c>
      <c r="C124" s="22">
        <v>259</v>
      </c>
      <c r="D124" s="22">
        <v>1024</v>
      </c>
      <c r="E124" s="22">
        <v>64</v>
      </c>
      <c r="F124" s="22">
        <v>5500</v>
      </c>
      <c r="G124" s="22">
        <v>5.6</v>
      </c>
      <c r="H124" s="22" t="s">
        <v>21</v>
      </c>
      <c r="I124" s="22" t="s">
        <v>60</v>
      </c>
      <c r="J124" s="22">
        <v>4.4000000000000004</v>
      </c>
    </row>
    <row r="125" spans="1:10" x14ac:dyDescent="0.25">
      <c r="A125" s="22" t="s">
        <v>47</v>
      </c>
      <c r="B125" s="22" t="s">
        <v>186</v>
      </c>
      <c r="C125" s="22">
        <v>262</v>
      </c>
      <c r="D125" s="22">
        <v>1024</v>
      </c>
      <c r="E125" s="22">
        <v>108</v>
      </c>
      <c r="F125" s="22">
        <v>5000</v>
      </c>
      <c r="G125" s="22">
        <v>6.9</v>
      </c>
      <c r="H125" s="22" t="s">
        <v>21</v>
      </c>
      <c r="I125" s="22" t="s">
        <v>14</v>
      </c>
      <c r="J125" s="22">
        <v>4.3</v>
      </c>
    </row>
    <row r="126" spans="1:10" x14ac:dyDescent="0.25">
      <c r="A126" s="22" t="s">
        <v>24</v>
      </c>
      <c r="B126" s="22" t="s">
        <v>187</v>
      </c>
      <c r="C126" s="22">
        <v>263</v>
      </c>
      <c r="D126" s="22">
        <v>128</v>
      </c>
      <c r="E126" s="22">
        <v>12</v>
      </c>
      <c r="F126" s="22">
        <v>5500</v>
      </c>
      <c r="G126" s="22">
        <v>6.8</v>
      </c>
      <c r="H126" s="22" t="s">
        <v>21</v>
      </c>
      <c r="I126" s="22" t="s">
        <v>14</v>
      </c>
      <c r="J126" s="22">
        <v>3.5</v>
      </c>
    </row>
    <row r="127" spans="1:10" x14ac:dyDescent="0.25">
      <c r="A127" s="22" t="s">
        <v>11</v>
      </c>
      <c r="B127" s="22" t="s">
        <v>188</v>
      </c>
      <c r="C127" s="22">
        <v>264</v>
      </c>
      <c r="D127" s="22">
        <v>128</v>
      </c>
      <c r="E127" s="22">
        <v>108</v>
      </c>
      <c r="F127" s="22">
        <v>5500</v>
      </c>
      <c r="G127" s="22">
        <v>5.7</v>
      </c>
      <c r="H127" s="22" t="s">
        <v>21</v>
      </c>
      <c r="I127" s="22" t="s">
        <v>14</v>
      </c>
      <c r="J127" s="22">
        <v>3.9</v>
      </c>
    </row>
    <row r="128" spans="1:10" x14ac:dyDescent="0.25">
      <c r="A128" s="22" t="s">
        <v>58</v>
      </c>
      <c r="B128" s="22" t="s">
        <v>189</v>
      </c>
      <c r="C128" s="22">
        <v>266</v>
      </c>
      <c r="D128" s="22">
        <v>512</v>
      </c>
      <c r="E128" s="22">
        <v>12</v>
      </c>
      <c r="F128" s="22">
        <v>5500</v>
      </c>
      <c r="G128" s="22">
        <v>7.2</v>
      </c>
      <c r="H128" s="22" t="s">
        <v>13</v>
      </c>
      <c r="I128" s="22" t="s">
        <v>60</v>
      </c>
      <c r="J128" s="22">
        <v>4.2</v>
      </c>
    </row>
    <row r="129" spans="1:10" x14ac:dyDescent="0.25">
      <c r="A129" s="22" t="s">
        <v>24</v>
      </c>
      <c r="B129" s="22" t="s">
        <v>190</v>
      </c>
      <c r="C129" s="22">
        <v>270</v>
      </c>
      <c r="D129" s="22">
        <v>1024</v>
      </c>
      <c r="E129" s="22">
        <v>108</v>
      </c>
      <c r="F129" s="22">
        <v>4000</v>
      </c>
      <c r="G129" s="22">
        <v>6.4</v>
      </c>
      <c r="H129" s="22" t="s">
        <v>21</v>
      </c>
      <c r="I129" s="22" t="s">
        <v>14</v>
      </c>
      <c r="J129" s="22">
        <v>4.5999999999999996</v>
      </c>
    </row>
    <row r="130" spans="1:10" x14ac:dyDescent="0.25">
      <c r="A130" s="22" t="s">
        <v>47</v>
      </c>
      <c r="B130" s="22" t="s">
        <v>191</v>
      </c>
      <c r="C130" s="22">
        <v>270</v>
      </c>
      <c r="D130" s="22">
        <v>1024</v>
      </c>
      <c r="E130" s="22">
        <v>64</v>
      </c>
      <c r="F130" s="22">
        <v>5000</v>
      </c>
      <c r="G130" s="22">
        <v>5.7</v>
      </c>
      <c r="H130" s="22" t="s">
        <v>13</v>
      </c>
      <c r="I130" s="22" t="s">
        <v>14</v>
      </c>
      <c r="J130" s="22">
        <v>4.8</v>
      </c>
    </row>
    <row r="131" spans="1:10" x14ac:dyDescent="0.25">
      <c r="A131" s="22" t="s">
        <v>33</v>
      </c>
      <c r="B131" s="22" t="s">
        <v>192</v>
      </c>
      <c r="C131" s="22">
        <v>271</v>
      </c>
      <c r="D131" s="22">
        <v>128</v>
      </c>
      <c r="E131" s="22">
        <v>108</v>
      </c>
      <c r="F131" s="22">
        <v>6000</v>
      </c>
      <c r="G131" s="22">
        <v>6.9</v>
      </c>
      <c r="H131" s="22" t="s">
        <v>21</v>
      </c>
      <c r="I131" s="22" t="s">
        <v>14</v>
      </c>
      <c r="J131" s="22">
        <v>4.2</v>
      </c>
    </row>
    <row r="132" spans="1:10" x14ac:dyDescent="0.25">
      <c r="A132" s="22" t="s">
        <v>58</v>
      </c>
      <c r="B132" s="22" t="s">
        <v>193</v>
      </c>
      <c r="C132" s="22">
        <v>275</v>
      </c>
      <c r="D132" s="22">
        <v>256</v>
      </c>
      <c r="E132" s="22">
        <v>12</v>
      </c>
      <c r="F132" s="22">
        <v>6000</v>
      </c>
      <c r="G132" s="22">
        <v>7.1</v>
      </c>
      <c r="H132" s="22" t="s">
        <v>13</v>
      </c>
      <c r="I132" s="22" t="s">
        <v>60</v>
      </c>
      <c r="J132" s="22">
        <v>4.0999999999999996</v>
      </c>
    </row>
    <row r="133" spans="1:10" x14ac:dyDescent="0.25">
      <c r="A133" s="22" t="s">
        <v>19</v>
      </c>
      <c r="B133" s="22" t="s">
        <v>194</v>
      </c>
      <c r="C133" s="22">
        <v>277</v>
      </c>
      <c r="D133" s="22">
        <v>256</v>
      </c>
      <c r="E133" s="22">
        <v>108</v>
      </c>
      <c r="F133" s="22">
        <v>4500</v>
      </c>
      <c r="G133" s="22">
        <v>7.1</v>
      </c>
      <c r="H133" s="22" t="s">
        <v>13</v>
      </c>
      <c r="I133" s="22" t="s">
        <v>14</v>
      </c>
      <c r="J133" s="22">
        <v>4</v>
      </c>
    </row>
    <row r="134" spans="1:10" x14ac:dyDescent="0.25">
      <c r="A134" s="22" t="s">
        <v>91</v>
      </c>
      <c r="B134" s="22" t="s">
        <v>195</v>
      </c>
      <c r="C134" s="22">
        <v>278</v>
      </c>
      <c r="D134" s="22">
        <v>128</v>
      </c>
      <c r="E134" s="22">
        <v>200</v>
      </c>
      <c r="F134" s="22">
        <v>4000</v>
      </c>
      <c r="G134" s="22">
        <v>5.7</v>
      </c>
      <c r="H134" s="22" t="s">
        <v>13</v>
      </c>
      <c r="I134" s="22" t="s">
        <v>14</v>
      </c>
      <c r="J134" s="22">
        <v>4.8</v>
      </c>
    </row>
    <row r="135" spans="1:10" x14ac:dyDescent="0.25">
      <c r="A135" s="22" t="s">
        <v>47</v>
      </c>
      <c r="B135" s="22" t="s">
        <v>196</v>
      </c>
      <c r="C135" s="22">
        <v>279</v>
      </c>
      <c r="D135" s="22">
        <v>256</v>
      </c>
      <c r="E135" s="22">
        <v>12</v>
      </c>
      <c r="F135" s="22">
        <v>6000</v>
      </c>
      <c r="G135" s="22">
        <v>7.2</v>
      </c>
      <c r="H135" s="22" t="s">
        <v>21</v>
      </c>
      <c r="I135" s="22" t="s">
        <v>14</v>
      </c>
      <c r="J135" s="22">
        <v>3.7</v>
      </c>
    </row>
    <row r="136" spans="1:10" x14ac:dyDescent="0.25">
      <c r="A136" s="22" t="s">
        <v>91</v>
      </c>
      <c r="B136" s="22" t="s">
        <v>197</v>
      </c>
      <c r="C136" s="22">
        <v>281</v>
      </c>
      <c r="D136" s="22">
        <v>256</v>
      </c>
      <c r="E136" s="22">
        <v>50</v>
      </c>
      <c r="F136" s="22">
        <v>6000</v>
      </c>
      <c r="G136" s="22">
        <v>6.4</v>
      </c>
      <c r="H136" s="22" t="s">
        <v>13</v>
      </c>
      <c r="I136" s="22" t="s">
        <v>14</v>
      </c>
      <c r="J136" s="22">
        <v>3.9</v>
      </c>
    </row>
    <row r="137" spans="1:10" x14ac:dyDescent="0.25">
      <c r="A137" s="22" t="s">
        <v>24</v>
      </c>
      <c r="B137" s="22" t="s">
        <v>198</v>
      </c>
      <c r="C137" s="22">
        <v>282</v>
      </c>
      <c r="D137" s="22">
        <v>512</v>
      </c>
      <c r="E137" s="22">
        <v>200</v>
      </c>
      <c r="F137" s="22">
        <v>5000</v>
      </c>
      <c r="G137" s="22">
        <v>6.9</v>
      </c>
      <c r="H137" s="22" t="s">
        <v>13</v>
      </c>
      <c r="I137" s="22" t="s">
        <v>14</v>
      </c>
      <c r="J137" s="22">
        <v>3.9</v>
      </c>
    </row>
    <row r="138" spans="1:10" x14ac:dyDescent="0.25">
      <c r="A138" s="22" t="s">
        <v>24</v>
      </c>
      <c r="B138" s="22" t="s">
        <v>199</v>
      </c>
      <c r="C138" s="22">
        <v>284</v>
      </c>
      <c r="D138" s="22">
        <v>128</v>
      </c>
      <c r="E138" s="22">
        <v>200</v>
      </c>
      <c r="F138" s="22">
        <v>4000</v>
      </c>
      <c r="G138" s="22">
        <v>7</v>
      </c>
      <c r="H138" s="22" t="s">
        <v>13</v>
      </c>
      <c r="I138" s="22" t="s">
        <v>14</v>
      </c>
      <c r="J138" s="22">
        <v>4.0999999999999996</v>
      </c>
    </row>
    <row r="139" spans="1:10" x14ac:dyDescent="0.25">
      <c r="A139" s="22" t="s">
        <v>11</v>
      </c>
      <c r="B139" s="22" t="s">
        <v>200</v>
      </c>
      <c r="C139" s="22">
        <v>287</v>
      </c>
      <c r="D139" s="22">
        <v>512</v>
      </c>
      <c r="E139" s="22">
        <v>48</v>
      </c>
      <c r="F139" s="22">
        <v>5500</v>
      </c>
      <c r="G139" s="22">
        <v>6.4</v>
      </c>
      <c r="H139" s="22" t="s">
        <v>21</v>
      </c>
      <c r="I139" s="22" t="s">
        <v>14</v>
      </c>
      <c r="J139" s="22">
        <v>4.0999999999999996</v>
      </c>
    </row>
    <row r="140" spans="1:10" x14ac:dyDescent="0.25">
      <c r="A140" s="22" t="s">
        <v>33</v>
      </c>
      <c r="B140" s="22" t="s">
        <v>201</v>
      </c>
      <c r="C140" s="22">
        <v>288</v>
      </c>
      <c r="D140" s="22">
        <v>256</v>
      </c>
      <c r="E140" s="22">
        <v>50</v>
      </c>
      <c r="F140" s="22">
        <v>6000</v>
      </c>
      <c r="G140" s="22">
        <v>6.9</v>
      </c>
      <c r="H140" s="22" t="s">
        <v>13</v>
      </c>
      <c r="I140" s="22" t="s">
        <v>14</v>
      </c>
      <c r="J140" s="22">
        <v>3.8</v>
      </c>
    </row>
    <row r="141" spans="1:10" x14ac:dyDescent="0.25">
      <c r="A141" s="22" t="s">
        <v>16</v>
      </c>
      <c r="B141" s="22" t="s">
        <v>202</v>
      </c>
      <c r="C141" s="22">
        <v>289</v>
      </c>
      <c r="D141" s="22">
        <v>1024</v>
      </c>
      <c r="E141" s="22">
        <v>12</v>
      </c>
      <c r="F141" s="22">
        <v>6000</v>
      </c>
      <c r="G141" s="22">
        <v>5.8</v>
      </c>
      <c r="H141" s="22" t="s">
        <v>13</v>
      </c>
      <c r="I141" s="22" t="s">
        <v>14</v>
      </c>
      <c r="J141" s="22">
        <v>4.4000000000000004</v>
      </c>
    </row>
    <row r="142" spans="1:10" x14ac:dyDescent="0.25">
      <c r="A142" s="22" t="s">
        <v>52</v>
      </c>
      <c r="B142" s="22" t="s">
        <v>203</v>
      </c>
      <c r="C142" s="22">
        <v>290</v>
      </c>
      <c r="D142" s="22">
        <v>128</v>
      </c>
      <c r="E142" s="22">
        <v>12</v>
      </c>
      <c r="F142" s="22">
        <v>5500</v>
      </c>
      <c r="G142" s="22">
        <v>6.1</v>
      </c>
      <c r="H142" s="22" t="s">
        <v>13</v>
      </c>
      <c r="I142" s="22" t="s">
        <v>14</v>
      </c>
      <c r="J142" s="22">
        <v>3.7</v>
      </c>
    </row>
    <row r="143" spans="1:10" x14ac:dyDescent="0.25">
      <c r="A143" s="22" t="s">
        <v>47</v>
      </c>
      <c r="B143" s="22" t="s">
        <v>204</v>
      </c>
      <c r="C143" s="22">
        <v>291</v>
      </c>
      <c r="D143" s="22">
        <v>64</v>
      </c>
      <c r="E143" s="22">
        <v>50</v>
      </c>
      <c r="F143" s="22">
        <v>6000</v>
      </c>
      <c r="G143" s="22">
        <v>6.1</v>
      </c>
      <c r="H143" s="22" t="s">
        <v>13</v>
      </c>
      <c r="I143" s="22" t="s">
        <v>14</v>
      </c>
      <c r="J143" s="22">
        <v>5</v>
      </c>
    </row>
    <row r="144" spans="1:10" x14ac:dyDescent="0.25">
      <c r="A144" s="22" t="s">
        <v>11</v>
      </c>
      <c r="B144" s="22" t="s">
        <v>205</v>
      </c>
      <c r="C144" s="22">
        <v>292</v>
      </c>
      <c r="D144" s="22">
        <v>64</v>
      </c>
      <c r="E144" s="22">
        <v>48</v>
      </c>
      <c r="F144" s="22">
        <v>5000</v>
      </c>
      <c r="G144" s="22">
        <v>6.1</v>
      </c>
      <c r="H144" s="22" t="s">
        <v>13</v>
      </c>
      <c r="I144" s="22" t="s">
        <v>14</v>
      </c>
      <c r="J144" s="22">
        <v>4.2</v>
      </c>
    </row>
    <row r="145" spans="1:10" x14ac:dyDescent="0.25">
      <c r="A145" s="22" t="s">
        <v>24</v>
      </c>
      <c r="B145" s="22" t="s">
        <v>206</v>
      </c>
      <c r="C145" s="22">
        <v>297</v>
      </c>
      <c r="D145" s="22">
        <v>1024</v>
      </c>
      <c r="E145" s="22">
        <v>108</v>
      </c>
      <c r="F145" s="22">
        <v>4500</v>
      </c>
      <c r="G145" s="22">
        <v>6</v>
      </c>
      <c r="H145" s="22" t="s">
        <v>21</v>
      </c>
      <c r="I145" s="22" t="s">
        <v>14</v>
      </c>
      <c r="J145" s="22">
        <v>4</v>
      </c>
    </row>
    <row r="146" spans="1:10" x14ac:dyDescent="0.25">
      <c r="A146" s="22" t="s">
        <v>24</v>
      </c>
      <c r="B146" s="22" t="s">
        <v>207</v>
      </c>
      <c r="C146" s="22">
        <v>298</v>
      </c>
      <c r="D146" s="22">
        <v>64</v>
      </c>
      <c r="E146" s="22">
        <v>64</v>
      </c>
      <c r="F146" s="22">
        <v>5500</v>
      </c>
      <c r="G146" s="22">
        <v>6.3</v>
      </c>
      <c r="H146" s="22" t="s">
        <v>21</v>
      </c>
      <c r="I146" s="22" t="s">
        <v>14</v>
      </c>
      <c r="J146" s="22">
        <v>3.9</v>
      </c>
    </row>
    <row r="147" spans="1:10" x14ac:dyDescent="0.25">
      <c r="A147" s="22" t="s">
        <v>11</v>
      </c>
      <c r="B147" s="22" t="s">
        <v>208</v>
      </c>
      <c r="C147" s="22">
        <v>298</v>
      </c>
      <c r="D147" s="22">
        <v>128</v>
      </c>
      <c r="E147" s="22">
        <v>12</v>
      </c>
      <c r="F147" s="22">
        <v>4000</v>
      </c>
      <c r="G147" s="22">
        <v>6.1</v>
      </c>
      <c r="H147" s="22" t="s">
        <v>13</v>
      </c>
      <c r="I147" s="22" t="s">
        <v>14</v>
      </c>
      <c r="J147" s="22">
        <v>4.5</v>
      </c>
    </row>
    <row r="148" spans="1:10" x14ac:dyDescent="0.25">
      <c r="A148" s="22" t="s">
        <v>47</v>
      </c>
      <c r="B148" s="22" t="s">
        <v>209</v>
      </c>
      <c r="C148" s="22">
        <v>299</v>
      </c>
      <c r="D148" s="22">
        <v>512</v>
      </c>
      <c r="E148" s="22">
        <v>50</v>
      </c>
      <c r="F148" s="22">
        <v>4000</v>
      </c>
      <c r="G148" s="22">
        <v>6.5</v>
      </c>
      <c r="H148" s="22" t="s">
        <v>21</v>
      </c>
      <c r="I148" s="22" t="s">
        <v>14</v>
      </c>
      <c r="J148" s="22">
        <v>4.5999999999999996</v>
      </c>
    </row>
    <row r="149" spans="1:10" x14ac:dyDescent="0.25">
      <c r="A149" s="22" t="s">
        <v>33</v>
      </c>
      <c r="B149" s="22" t="s">
        <v>210</v>
      </c>
      <c r="C149" s="22">
        <v>300</v>
      </c>
      <c r="D149" s="22">
        <v>512</v>
      </c>
      <c r="E149" s="22">
        <v>200</v>
      </c>
      <c r="F149" s="22">
        <v>5000</v>
      </c>
      <c r="G149" s="22">
        <v>7.2</v>
      </c>
      <c r="H149" s="22" t="s">
        <v>21</v>
      </c>
      <c r="I149" s="22" t="s">
        <v>14</v>
      </c>
      <c r="J149" s="22">
        <v>4.0999999999999996</v>
      </c>
    </row>
    <row r="150" spans="1:10" x14ac:dyDescent="0.25">
      <c r="A150" s="22" t="s">
        <v>19</v>
      </c>
      <c r="B150" s="22" t="s">
        <v>211</v>
      </c>
      <c r="C150" s="22">
        <v>302</v>
      </c>
      <c r="D150" s="22">
        <v>64</v>
      </c>
      <c r="E150" s="22">
        <v>50</v>
      </c>
      <c r="F150" s="22">
        <v>5500</v>
      </c>
      <c r="G150" s="22">
        <v>7</v>
      </c>
      <c r="H150" s="22" t="s">
        <v>21</v>
      </c>
      <c r="I150" s="22" t="s">
        <v>14</v>
      </c>
      <c r="J150" s="22">
        <v>4.8</v>
      </c>
    </row>
    <row r="151" spans="1:10" x14ac:dyDescent="0.25">
      <c r="A151" s="22" t="s">
        <v>47</v>
      </c>
      <c r="B151" s="22" t="s">
        <v>212</v>
      </c>
      <c r="C151" s="22">
        <v>304</v>
      </c>
      <c r="D151" s="22">
        <v>1024</v>
      </c>
      <c r="E151" s="22">
        <v>48</v>
      </c>
      <c r="F151" s="22">
        <v>4000</v>
      </c>
      <c r="G151" s="22">
        <v>7.1</v>
      </c>
      <c r="H151" s="22" t="s">
        <v>13</v>
      </c>
      <c r="I151" s="22" t="s">
        <v>14</v>
      </c>
      <c r="J151" s="22">
        <v>3.5</v>
      </c>
    </row>
    <row r="152" spans="1:10" x14ac:dyDescent="0.25">
      <c r="A152" s="22" t="s">
        <v>47</v>
      </c>
      <c r="B152" s="22" t="s">
        <v>213</v>
      </c>
      <c r="C152" s="22">
        <v>304</v>
      </c>
      <c r="D152" s="22">
        <v>512</v>
      </c>
      <c r="E152" s="22">
        <v>64</v>
      </c>
      <c r="F152" s="22">
        <v>4000</v>
      </c>
      <c r="G152" s="22">
        <v>6.8</v>
      </c>
      <c r="H152" s="22" t="s">
        <v>13</v>
      </c>
      <c r="I152" s="22" t="s">
        <v>14</v>
      </c>
      <c r="J152" s="22">
        <v>4.5999999999999996</v>
      </c>
    </row>
    <row r="153" spans="1:10" x14ac:dyDescent="0.25">
      <c r="A153" s="22" t="s">
        <v>91</v>
      </c>
      <c r="B153" s="22" t="s">
        <v>214</v>
      </c>
      <c r="C153" s="22">
        <v>304</v>
      </c>
      <c r="D153" s="22">
        <v>256</v>
      </c>
      <c r="E153" s="22">
        <v>108</v>
      </c>
      <c r="F153" s="22">
        <v>4500</v>
      </c>
      <c r="G153" s="22">
        <v>6.9</v>
      </c>
      <c r="H153" s="22" t="s">
        <v>21</v>
      </c>
      <c r="I153" s="22" t="s">
        <v>14</v>
      </c>
      <c r="J153" s="22">
        <v>5</v>
      </c>
    </row>
    <row r="154" spans="1:10" x14ac:dyDescent="0.25">
      <c r="A154" s="22" t="s">
        <v>33</v>
      </c>
      <c r="B154" s="22" t="s">
        <v>215</v>
      </c>
      <c r="C154" s="22">
        <v>307</v>
      </c>
      <c r="D154" s="22">
        <v>256</v>
      </c>
      <c r="E154" s="22">
        <v>48</v>
      </c>
      <c r="F154" s="22">
        <v>6000</v>
      </c>
      <c r="G154" s="22">
        <v>6.7</v>
      </c>
      <c r="H154" s="22" t="s">
        <v>13</v>
      </c>
      <c r="I154" s="22" t="s">
        <v>14</v>
      </c>
      <c r="J154" s="22">
        <v>4.3</v>
      </c>
    </row>
    <row r="155" spans="1:10" x14ac:dyDescent="0.25">
      <c r="A155" s="22" t="s">
        <v>47</v>
      </c>
      <c r="B155" s="22" t="s">
        <v>216</v>
      </c>
      <c r="C155" s="22">
        <v>310</v>
      </c>
      <c r="D155" s="22">
        <v>256</v>
      </c>
      <c r="E155" s="22">
        <v>12</v>
      </c>
      <c r="F155" s="22">
        <v>5000</v>
      </c>
      <c r="G155" s="22">
        <v>7</v>
      </c>
      <c r="H155" s="22" t="s">
        <v>21</v>
      </c>
      <c r="I155" s="22" t="s">
        <v>14</v>
      </c>
      <c r="J155" s="22">
        <v>4.3</v>
      </c>
    </row>
    <row r="156" spans="1:10" x14ac:dyDescent="0.25">
      <c r="A156" s="22" t="s">
        <v>11</v>
      </c>
      <c r="B156" s="22" t="s">
        <v>217</v>
      </c>
      <c r="C156" s="22">
        <v>311</v>
      </c>
      <c r="D156" s="22">
        <v>1024</v>
      </c>
      <c r="E156" s="22">
        <v>50</v>
      </c>
      <c r="F156" s="22">
        <v>5500</v>
      </c>
      <c r="G156" s="22">
        <v>6.9</v>
      </c>
      <c r="H156" s="22" t="s">
        <v>21</v>
      </c>
      <c r="I156" s="22" t="s">
        <v>14</v>
      </c>
      <c r="J156" s="22">
        <v>4.4000000000000004</v>
      </c>
    </row>
    <row r="157" spans="1:10" x14ac:dyDescent="0.25">
      <c r="A157" s="22" t="s">
        <v>91</v>
      </c>
      <c r="B157" s="22" t="s">
        <v>218</v>
      </c>
      <c r="C157" s="22">
        <v>311</v>
      </c>
      <c r="D157" s="22">
        <v>512</v>
      </c>
      <c r="E157" s="22">
        <v>108</v>
      </c>
      <c r="F157" s="22">
        <v>5500</v>
      </c>
      <c r="G157" s="22">
        <v>6.6</v>
      </c>
      <c r="H157" s="22" t="s">
        <v>13</v>
      </c>
      <c r="I157" s="22" t="s">
        <v>14</v>
      </c>
      <c r="J157" s="22">
        <v>4.0999999999999996</v>
      </c>
    </row>
    <row r="158" spans="1:10" x14ac:dyDescent="0.25">
      <c r="A158" s="22" t="s">
        <v>33</v>
      </c>
      <c r="B158" s="22" t="s">
        <v>219</v>
      </c>
      <c r="C158" s="22">
        <v>312</v>
      </c>
      <c r="D158" s="22">
        <v>512</v>
      </c>
      <c r="E158" s="22">
        <v>64</v>
      </c>
      <c r="F158" s="22">
        <v>5500</v>
      </c>
      <c r="G158" s="22">
        <v>6.7</v>
      </c>
      <c r="H158" s="22" t="s">
        <v>21</v>
      </c>
      <c r="I158" s="22" t="s">
        <v>14</v>
      </c>
      <c r="J158" s="22">
        <v>4.7</v>
      </c>
    </row>
    <row r="159" spans="1:10" x14ac:dyDescent="0.25">
      <c r="A159" s="22" t="s">
        <v>33</v>
      </c>
      <c r="B159" s="22" t="s">
        <v>220</v>
      </c>
      <c r="C159" s="22">
        <v>313</v>
      </c>
      <c r="D159" s="22">
        <v>64</v>
      </c>
      <c r="E159" s="22">
        <v>64</v>
      </c>
      <c r="F159" s="22">
        <v>6000</v>
      </c>
      <c r="G159" s="22">
        <v>6.1</v>
      </c>
      <c r="H159" s="22" t="s">
        <v>21</v>
      </c>
      <c r="I159" s="22" t="s">
        <v>14</v>
      </c>
      <c r="J159" s="22">
        <v>4.5999999999999996</v>
      </c>
    </row>
    <row r="160" spans="1:10" x14ac:dyDescent="0.25">
      <c r="A160" s="22" t="s">
        <v>19</v>
      </c>
      <c r="B160" s="22" t="s">
        <v>221</v>
      </c>
      <c r="C160" s="22">
        <v>313</v>
      </c>
      <c r="D160" s="22">
        <v>256</v>
      </c>
      <c r="E160" s="22">
        <v>48</v>
      </c>
      <c r="F160" s="22">
        <v>4500</v>
      </c>
      <c r="G160" s="22">
        <v>6.1</v>
      </c>
      <c r="H160" s="22" t="s">
        <v>21</v>
      </c>
      <c r="I160" s="22" t="s">
        <v>14</v>
      </c>
      <c r="J160" s="22">
        <v>3.7</v>
      </c>
    </row>
    <row r="161" spans="1:10" x14ac:dyDescent="0.25">
      <c r="A161" s="22" t="s">
        <v>52</v>
      </c>
      <c r="B161" s="22" t="s">
        <v>222</v>
      </c>
      <c r="C161" s="22">
        <v>313</v>
      </c>
      <c r="D161" s="22">
        <v>128</v>
      </c>
      <c r="E161" s="22">
        <v>48</v>
      </c>
      <c r="F161" s="22">
        <v>6000</v>
      </c>
      <c r="G161" s="22">
        <v>5.5</v>
      </c>
      <c r="H161" s="22" t="s">
        <v>13</v>
      </c>
      <c r="I161" s="22" t="s">
        <v>14</v>
      </c>
      <c r="J161" s="22">
        <v>4.8</v>
      </c>
    </row>
    <row r="162" spans="1:10" x14ac:dyDescent="0.25">
      <c r="A162" s="22" t="s">
        <v>33</v>
      </c>
      <c r="B162" s="22" t="s">
        <v>223</v>
      </c>
      <c r="C162" s="22">
        <v>314</v>
      </c>
      <c r="D162" s="22">
        <v>1024</v>
      </c>
      <c r="E162" s="22">
        <v>108</v>
      </c>
      <c r="F162" s="22">
        <v>5000</v>
      </c>
      <c r="G162" s="22">
        <v>7.1</v>
      </c>
      <c r="H162" s="22" t="s">
        <v>21</v>
      </c>
      <c r="I162" s="22" t="s">
        <v>14</v>
      </c>
      <c r="J162" s="22">
        <v>4</v>
      </c>
    </row>
    <row r="163" spans="1:10" x14ac:dyDescent="0.25">
      <c r="A163" s="22" t="s">
        <v>16</v>
      </c>
      <c r="B163" s="22" t="s">
        <v>224</v>
      </c>
      <c r="C163" s="22">
        <v>316</v>
      </c>
      <c r="D163" s="22">
        <v>512</v>
      </c>
      <c r="E163" s="22">
        <v>64</v>
      </c>
      <c r="F163" s="22">
        <v>4000</v>
      </c>
      <c r="G163" s="22">
        <v>6.6</v>
      </c>
      <c r="H163" s="22" t="s">
        <v>13</v>
      </c>
      <c r="I163" s="22" t="s">
        <v>14</v>
      </c>
      <c r="J163" s="22">
        <v>4.5</v>
      </c>
    </row>
    <row r="164" spans="1:10" x14ac:dyDescent="0.25">
      <c r="A164" s="22" t="s">
        <v>91</v>
      </c>
      <c r="B164" s="22" t="s">
        <v>225</v>
      </c>
      <c r="C164" s="22">
        <v>316</v>
      </c>
      <c r="D164" s="22">
        <v>128</v>
      </c>
      <c r="E164" s="22">
        <v>108</v>
      </c>
      <c r="F164" s="22">
        <v>5000</v>
      </c>
      <c r="G164" s="22">
        <v>6.4</v>
      </c>
      <c r="H164" s="22" t="s">
        <v>21</v>
      </c>
      <c r="I164" s="22" t="s">
        <v>14</v>
      </c>
      <c r="J164" s="22">
        <v>4.4000000000000004</v>
      </c>
    </row>
    <row r="165" spans="1:10" x14ac:dyDescent="0.25">
      <c r="A165" s="22" t="s">
        <v>52</v>
      </c>
      <c r="B165" s="22" t="s">
        <v>226</v>
      </c>
      <c r="C165" s="22">
        <v>316</v>
      </c>
      <c r="D165" s="22">
        <v>1024</v>
      </c>
      <c r="E165" s="22">
        <v>64</v>
      </c>
      <c r="F165" s="22">
        <v>6000</v>
      </c>
      <c r="G165" s="22">
        <v>6.4</v>
      </c>
      <c r="H165" s="22" t="s">
        <v>21</v>
      </c>
      <c r="I165" s="22" t="s">
        <v>14</v>
      </c>
      <c r="J165" s="22">
        <v>4.9000000000000004</v>
      </c>
    </row>
    <row r="166" spans="1:10" x14ac:dyDescent="0.25">
      <c r="A166" s="22" t="s">
        <v>11</v>
      </c>
      <c r="B166" s="22" t="s">
        <v>227</v>
      </c>
      <c r="C166" s="22">
        <v>317</v>
      </c>
      <c r="D166" s="22">
        <v>512</v>
      </c>
      <c r="E166" s="22">
        <v>50</v>
      </c>
      <c r="F166" s="22">
        <v>5500</v>
      </c>
      <c r="G166" s="22">
        <v>6.5</v>
      </c>
      <c r="H166" s="22" t="s">
        <v>13</v>
      </c>
      <c r="I166" s="22" t="s">
        <v>14</v>
      </c>
      <c r="J166" s="22">
        <v>4.9000000000000004</v>
      </c>
    </row>
    <row r="167" spans="1:10" x14ac:dyDescent="0.25">
      <c r="A167" s="22" t="s">
        <v>24</v>
      </c>
      <c r="B167" s="22" t="s">
        <v>228</v>
      </c>
      <c r="C167" s="22">
        <v>318</v>
      </c>
      <c r="D167" s="22">
        <v>64</v>
      </c>
      <c r="E167" s="22">
        <v>50</v>
      </c>
      <c r="F167" s="22">
        <v>4500</v>
      </c>
      <c r="G167" s="22">
        <v>5.7</v>
      </c>
      <c r="H167" s="22" t="s">
        <v>21</v>
      </c>
      <c r="I167" s="22" t="s">
        <v>14</v>
      </c>
      <c r="J167" s="22">
        <v>3.8</v>
      </c>
    </row>
    <row r="168" spans="1:10" x14ac:dyDescent="0.25">
      <c r="A168" s="22" t="s">
        <v>16</v>
      </c>
      <c r="B168" s="22" t="s">
        <v>229</v>
      </c>
      <c r="C168" s="22">
        <v>319</v>
      </c>
      <c r="D168" s="22">
        <v>256</v>
      </c>
      <c r="E168" s="22">
        <v>200</v>
      </c>
      <c r="F168" s="22">
        <v>4500</v>
      </c>
      <c r="G168" s="22">
        <v>6.7</v>
      </c>
      <c r="H168" s="22" t="s">
        <v>13</v>
      </c>
      <c r="I168" s="22" t="s">
        <v>14</v>
      </c>
      <c r="J168" s="22">
        <v>3.7</v>
      </c>
    </row>
    <row r="169" spans="1:10" x14ac:dyDescent="0.25">
      <c r="A169" s="22" t="s">
        <v>19</v>
      </c>
      <c r="B169" s="22" t="s">
        <v>230</v>
      </c>
      <c r="C169" s="22">
        <v>320</v>
      </c>
      <c r="D169" s="22">
        <v>128</v>
      </c>
      <c r="E169" s="22">
        <v>108</v>
      </c>
      <c r="F169" s="22">
        <v>6000</v>
      </c>
      <c r="G169" s="22">
        <v>6.9</v>
      </c>
      <c r="H169" s="22" t="s">
        <v>21</v>
      </c>
      <c r="I169" s="22" t="s">
        <v>14</v>
      </c>
      <c r="J169" s="22">
        <v>4.2</v>
      </c>
    </row>
    <row r="170" spans="1:10" x14ac:dyDescent="0.25">
      <c r="A170" s="22" t="s">
        <v>47</v>
      </c>
      <c r="B170" s="22" t="s">
        <v>231</v>
      </c>
      <c r="C170" s="22">
        <v>325</v>
      </c>
      <c r="D170" s="22">
        <v>64</v>
      </c>
      <c r="E170" s="22">
        <v>200</v>
      </c>
      <c r="F170" s="22">
        <v>4500</v>
      </c>
      <c r="G170" s="22">
        <v>5.5</v>
      </c>
      <c r="H170" s="22" t="s">
        <v>13</v>
      </c>
      <c r="I170" s="22" t="s">
        <v>14</v>
      </c>
      <c r="J170" s="22">
        <v>3.9</v>
      </c>
    </row>
    <row r="171" spans="1:10" x14ac:dyDescent="0.25">
      <c r="A171" s="22" t="s">
        <v>47</v>
      </c>
      <c r="B171" s="22" t="s">
        <v>232</v>
      </c>
      <c r="C171" s="22">
        <v>327</v>
      </c>
      <c r="D171" s="22">
        <v>512</v>
      </c>
      <c r="E171" s="22">
        <v>108</v>
      </c>
      <c r="F171" s="22">
        <v>5000</v>
      </c>
      <c r="G171" s="22">
        <v>6.7</v>
      </c>
      <c r="H171" s="22" t="s">
        <v>21</v>
      </c>
      <c r="I171" s="22" t="s">
        <v>14</v>
      </c>
      <c r="J171" s="22">
        <v>4.3</v>
      </c>
    </row>
    <row r="172" spans="1:10" x14ac:dyDescent="0.25">
      <c r="A172" s="22" t="s">
        <v>19</v>
      </c>
      <c r="B172" s="22" t="s">
        <v>233</v>
      </c>
      <c r="C172" s="22">
        <v>328</v>
      </c>
      <c r="D172" s="22">
        <v>512</v>
      </c>
      <c r="E172" s="22">
        <v>108</v>
      </c>
      <c r="F172" s="22">
        <v>5500</v>
      </c>
      <c r="G172" s="22">
        <v>5.9</v>
      </c>
      <c r="H172" s="22" t="s">
        <v>21</v>
      </c>
      <c r="I172" s="22" t="s">
        <v>14</v>
      </c>
      <c r="J172" s="22">
        <v>4.3</v>
      </c>
    </row>
    <row r="173" spans="1:10" x14ac:dyDescent="0.25">
      <c r="A173" s="22" t="s">
        <v>91</v>
      </c>
      <c r="B173" s="22" t="s">
        <v>234</v>
      </c>
      <c r="C173" s="22">
        <v>329</v>
      </c>
      <c r="D173" s="22">
        <v>64</v>
      </c>
      <c r="E173" s="22">
        <v>12</v>
      </c>
      <c r="F173" s="22">
        <v>5500</v>
      </c>
      <c r="G173" s="22">
        <v>5.9</v>
      </c>
      <c r="H173" s="22" t="s">
        <v>13</v>
      </c>
      <c r="I173" s="22" t="s">
        <v>14</v>
      </c>
      <c r="J173" s="22">
        <v>4.3</v>
      </c>
    </row>
    <row r="174" spans="1:10" x14ac:dyDescent="0.25">
      <c r="A174" s="22" t="s">
        <v>58</v>
      </c>
      <c r="B174" s="22" t="s">
        <v>235</v>
      </c>
      <c r="C174" s="22">
        <v>335</v>
      </c>
      <c r="D174" s="22">
        <v>128</v>
      </c>
      <c r="E174" s="22">
        <v>200</v>
      </c>
      <c r="F174" s="22">
        <v>5000</v>
      </c>
      <c r="G174" s="22">
        <v>6.9</v>
      </c>
      <c r="H174" s="22" t="s">
        <v>21</v>
      </c>
      <c r="I174" s="22" t="s">
        <v>60</v>
      </c>
      <c r="J174" s="22">
        <v>3.5</v>
      </c>
    </row>
    <row r="175" spans="1:10" x14ac:dyDescent="0.25">
      <c r="A175" s="22" t="s">
        <v>91</v>
      </c>
      <c r="B175" s="22" t="s">
        <v>236</v>
      </c>
      <c r="C175" s="22">
        <v>335</v>
      </c>
      <c r="D175" s="22">
        <v>64</v>
      </c>
      <c r="E175" s="22">
        <v>108</v>
      </c>
      <c r="F175" s="22">
        <v>5500</v>
      </c>
      <c r="G175" s="22">
        <v>5.8</v>
      </c>
      <c r="H175" s="22" t="s">
        <v>21</v>
      </c>
      <c r="I175" s="22" t="s">
        <v>14</v>
      </c>
      <c r="J175" s="22">
        <v>4.8</v>
      </c>
    </row>
    <row r="176" spans="1:10" x14ac:dyDescent="0.25">
      <c r="A176" s="22" t="s">
        <v>58</v>
      </c>
      <c r="B176" s="22" t="s">
        <v>237</v>
      </c>
      <c r="C176" s="22">
        <v>336</v>
      </c>
      <c r="D176" s="22">
        <v>64</v>
      </c>
      <c r="E176" s="22">
        <v>200</v>
      </c>
      <c r="F176" s="22">
        <v>5000</v>
      </c>
      <c r="G176" s="22">
        <v>5.6</v>
      </c>
      <c r="H176" s="22" t="s">
        <v>13</v>
      </c>
      <c r="I176" s="22" t="s">
        <v>60</v>
      </c>
      <c r="J176" s="22">
        <v>3.6</v>
      </c>
    </row>
    <row r="177" spans="1:10" x14ac:dyDescent="0.25">
      <c r="A177" s="22" t="s">
        <v>58</v>
      </c>
      <c r="B177" s="22" t="s">
        <v>238</v>
      </c>
      <c r="C177" s="22">
        <v>336</v>
      </c>
      <c r="D177" s="22">
        <v>512</v>
      </c>
      <c r="E177" s="22">
        <v>64</v>
      </c>
      <c r="F177" s="22">
        <v>4500</v>
      </c>
      <c r="G177" s="22">
        <v>6.3</v>
      </c>
      <c r="H177" s="22" t="s">
        <v>21</v>
      </c>
      <c r="I177" s="22" t="s">
        <v>60</v>
      </c>
      <c r="J177" s="22">
        <v>3.8</v>
      </c>
    </row>
    <row r="178" spans="1:10" x14ac:dyDescent="0.25">
      <c r="A178" s="22" t="s">
        <v>47</v>
      </c>
      <c r="B178" s="22" t="s">
        <v>239</v>
      </c>
      <c r="C178" s="22">
        <v>342</v>
      </c>
      <c r="D178" s="22">
        <v>512</v>
      </c>
      <c r="E178" s="22">
        <v>48</v>
      </c>
      <c r="F178" s="22">
        <v>4500</v>
      </c>
      <c r="G178" s="22">
        <v>7.1</v>
      </c>
      <c r="H178" s="22" t="s">
        <v>13</v>
      </c>
      <c r="I178" s="22" t="s">
        <v>14</v>
      </c>
      <c r="J178" s="22">
        <v>4.8</v>
      </c>
    </row>
    <row r="179" spans="1:10" x14ac:dyDescent="0.25">
      <c r="A179" s="22" t="s">
        <v>19</v>
      </c>
      <c r="B179" s="22" t="s">
        <v>240</v>
      </c>
      <c r="C179" s="22">
        <v>342</v>
      </c>
      <c r="D179" s="22">
        <v>512</v>
      </c>
      <c r="E179" s="22">
        <v>48</v>
      </c>
      <c r="F179" s="22">
        <v>5000</v>
      </c>
      <c r="G179" s="22">
        <v>5.5</v>
      </c>
      <c r="H179" s="22" t="s">
        <v>21</v>
      </c>
      <c r="I179" s="22" t="s">
        <v>14</v>
      </c>
      <c r="J179" s="22">
        <v>4.9000000000000004</v>
      </c>
    </row>
    <row r="180" spans="1:10" x14ac:dyDescent="0.25">
      <c r="A180" s="22" t="s">
        <v>11</v>
      </c>
      <c r="B180" s="22" t="s">
        <v>241</v>
      </c>
      <c r="C180" s="22">
        <v>342</v>
      </c>
      <c r="D180" s="22">
        <v>512</v>
      </c>
      <c r="E180" s="22">
        <v>12</v>
      </c>
      <c r="F180" s="22">
        <v>4500</v>
      </c>
      <c r="G180" s="22">
        <v>7</v>
      </c>
      <c r="H180" s="22" t="s">
        <v>21</v>
      </c>
      <c r="I180" s="22" t="s">
        <v>14</v>
      </c>
      <c r="J180" s="22">
        <v>3.5</v>
      </c>
    </row>
    <row r="181" spans="1:10" x14ac:dyDescent="0.25">
      <c r="A181" s="22" t="s">
        <v>11</v>
      </c>
      <c r="B181" s="22" t="s">
        <v>242</v>
      </c>
      <c r="C181" s="22">
        <v>342</v>
      </c>
      <c r="D181" s="22">
        <v>256</v>
      </c>
      <c r="E181" s="22">
        <v>48</v>
      </c>
      <c r="F181" s="22">
        <v>4000</v>
      </c>
      <c r="G181" s="22">
        <v>5.9</v>
      </c>
      <c r="H181" s="22" t="s">
        <v>13</v>
      </c>
      <c r="I181" s="22" t="s">
        <v>14</v>
      </c>
      <c r="J181" s="22">
        <v>4.3</v>
      </c>
    </row>
    <row r="182" spans="1:10" x14ac:dyDescent="0.25">
      <c r="A182" s="22" t="s">
        <v>11</v>
      </c>
      <c r="B182" s="22" t="s">
        <v>243</v>
      </c>
      <c r="C182" s="22">
        <v>343</v>
      </c>
      <c r="D182" s="22">
        <v>256</v>
      </c>
      <c r="E182" s="22">
        <v>64</v>
      </c>
      <c r="F182" s="22">
        <v>4000</v>
      </c>
      <c r="G182" s="22">
        <v>7</v>
      </c>
      <c r="H182" s="22" t="s">
        <v>13</v>
      </c>
      <c r="I182" s="22" t="s">
        <v>14</v>
      </c>
      <c r="J182" s="22">
        <v>4.5</v>
      </c>
    </row>
    <row r="183" spans="1:10" x14ac:dyDescent="0.25">
      <c r="A183" s="22" t="s">
        <v>33</v>
      </c>
      <c r="B183" s="22" t="s">
        <v>244</v>
      </c>
      <c r="C183" s="22">
        <v>344</v>
      </c>
      <c r="D183" s="22">
        <v>1024</v>
      </c>
      <c r="E183" s="22">
        <v>108</v>
      </c>
      <c r="F183" s="22">
        <v>4500</v>
      </c>
      <c r="G183" s="22">
        <v>7.2</v>
      </c>
      <c r="H183" s="22" t="s">
        <v>21</v>
      </c>
      <c r="I183" s="22" t="s">
        <v>14</v>
      </c>
      <c r="J183" s="22">
        <v>3.7</v>
      </c>
    </row>
    <row r="184" spans="1:10" x14ac:dyDescent="0.25">
      <c r="A184" s="22" t="s">
        <v>58</v>
      </c>
      <c r="B184" s="22" t="s">
        <v>245</v>
      </c>
      <c r="C184" s="22">
        <v>348</v>
      </c>
      <c r="D184" s="22">
        <v>1024</v>
      </c>
      <c r="E184" s="22">
        <v>108</v>
      </c>
      <c r="F184" s="22">
        <v>6000</v>
      </c>
      <c r="G184" s="22">
        <v>6.4</v>
      </c>
      <c r="H184" s="22" t="s">
        <v>13</v>
      </c>
      <c r="I184" s="22" t="s">
        <v>60</v>
      </c>
      <c r="J184" s="22">
        <v>4.2</v>
      </c>
    </row>
    <row r="185" spans="1:10" x14ac:dyDescent="0.25">
      <c r="A185" s="22" t="s">
        <v>91</v>
      </c>
      <c r="B185" s="22" t="s">
        <v>246</v>
      </c>
      <c r="C185" s="22">
        <v>349</v>
      </c>
      <c r="D185" s="22">
        <v>64</v>
      </c>
      <c r="E185" s="22">
        <v>200</v>
      </c>
      <c r="F185" s="22">
        <v>4000</v>
      </c>
      <c r="G185" s="22">
        <v>6.5</v>
      </c>
      <c r="H185" s="22" t="s">
        <v>21</v>
      </c>
      <c r="I185" s="22" t="s">
        <v>14</v>
      </c>
      <c r="J185" s="22">
        <v>4.5</v>
      </c>
    </row>
    <row r="186" spans="1:10" x14ac:dyDescent="0.25">
      <c r="A186" s="22" t="s">
        <v>19</v>
      </c>
      <c r="B186" s="22" t="s">
        <v>247</v>
      </c>
      <c r="C186" s="22">
        <v>350</v>
      </c>
      <c r="D186" s="22">
        <v>512</v>
      </c>
      <c r="E186" s="22">
        <v>12</v>
      </c>
      <c r="F186" s="22">
        <v>4000</v>
      </c>
      <c r="G186" s="22">
        <v>6.1</v>
      </c>
      <c r="H186" s="22" t="s">
        <v>13</v>
      </c>
      <c r="I186" s="22" t="s">
        <v>14</v>
      </c>
      <c r="J186" s="22">
        <v>4.5999999999999996</v>
      </c>
    </row>
    <row r="187" spans="1:10" x14ac:dyDescent="0.25">
      <c r="A187" s="22" t="s">
        <v>16</v>
      </c>
      <c r="B187" s="22" t="s">
        <v>248</v>
      </c>
      <c r="C187" s="22">
        <v>350</v>
      </c>
      <c r="D187" s="22">
        <v>1024</v>
      </c>
      <c r="E187" s="22">
        <v>12</v>
      </c>
      <c r="F187" s="22">
        <v>6000</v>
      </c>
      <c r="G187" s="22">
        <v>5.7</v>
      </c>
      <c r="H187" s="22" t="s">
        <v>13</v>
      </c>
      <c r="I187" s="22" t="s">
        <v>14</v>
      </c>
      <c r="J187" s="22">
        <v>4.2</v>
      </c>
    </row>
    <row r="188" spans="1:10" x14ac:dyDescent="0.25">
      <c r="A188" s="22" t="s">
        <v>52</v>
      </c>
      <c r="B188" s="22" t="s">
        <v>249</v>
      </c>
      <c r="C188" s="22">
        <v>355</v>
      </c>
      <c r="D188" s="22">
        <v>64</v>
      </c>
      <c r="E188" s="22">
        <v>50</v>
      </c>
      <c r="F188" s="22">
        <v>4500</v>
      </c>
      <c r="G188" s="22">
        <v>6.8</v>
      </c>
      <c r="H188" s="22" t="s">
        <v>13</v>
      </c>
      <c r="I188" s="22" t="s">
        <v>14</v>
      </c>
      <c r="J188" s="22">
        <v>3.9</v>
      </c>
    </row>
    <row r="189" spans="1:10" x14ac:dyDescent="0.25">
      <c r="A189" s="22" t="s">
        <v>91</v>
      </c>
      <c r="B189" s="22" t="s">
        <v>250</v>
      </c>
      <c r="C189" s="22">
        <v>355</v>
      </c>
      <c r="D189" s="22">
        <v>512</v>
      </c>
      <c r="E189" s="22">
        <v>200</v>
      </c>
      <c r="F189" s="22">
        <v>4000</v>
      </c>
      <c r="G189" s="22">
        <v>6.4</v>
      </c>
      <c r="H189" s="22" t="s">
        <v>13</v>
      </c>
      <c r="I189" s="22" t="s">
        <v>14</v>
      </c>
      <c r="J189" s="22">
        <v>3.6</v>
      </c>
    </row>
    <row r="190" spans="1:10" x14ac:dyDescent="0.25">
      <c r="A190" s="22" t="s">
        <v>58</v>
      </c>
      <c r="B190" s="22" t="s">
        <v>251</v>
      </c>
      <c r="C190" s="22">
        <v>356</v>
      </c>
      <c r="D190" s="22">
        <v>256</v>
      </c>
      <c r="E190" s="22">
        <v>12</v>
      </c>
      <c r="F190" s="22">
        <v>6000</v>
      </c>
      <c r="G190" s="22">
        <v>6.8</v>
      </c>
      <c r="H190" s="22" t="s">
        <v>13</v>
      </c>
      <c r="I190" s="22" t="s">
        <v>60</v>
      </c>
      <c r="J190" s="22">
        <v>4.5999999999999996</v>
      </c>
    </row>
    <row r="191" spans="1:10" x14ac:dyDescent="0.25">
      <c r="A191" s="22" t="s">
        <v>52</v>
      </c>
      <c r="B191" s="22" t="s">
        <v>252</v>
      </c>
      <c r="C191" s="22">
        <v>356</v>
      </c>
      <c r="D191" s="22">
        <v>512</v>
      </c>
      <c r="E191" s="22">
        <v>108</v>
      </c>
      <c r="F191" s="22">
        <v>4500</v>
      </c>
      <c r="G191" s="22">
        <v>6.5</v>
      </c>
      <c r="H191" s="22" t="s">
        <v>13</v>
      </c>
      <c r="I191" s="22" t="s">
        <v>14</v>
      </c>
      <c r="J191" s="22">
        <v>4</v>
      </c>
    </row>
    <row r="192" spans="1:10" x14ac:dyDescent="0.25">
      <c r="A192" s="22" t="s">
        <v>91</v>
      </c>
      <c r="B192" s="22" t="s">
        <v>253</v>
      </c>
      <c r="C192" s="22">
        <v>356</v>
      </c>
      <c r="D192" s="22">
        <v>1024</v>
      </c>
      <c r="E192" s="22">
        <v>48</v>
      </c>
      <c r="F192" s="22">
        <v>5000</v>
      </c>
      <c r="G192" s="22">
        <v>6.4</v>
      </c>
      <c r="H192" s="22" t="s">
        <v>21</v>
      </c>
      <c r="I192" s="22" t="s">
        <v>14</v>
      </c>
      <c r="J192" s="22">
        <v>4</v>
      </c>
    </row>
    <row r="193" spans="1:10" x14ac:dyDescent="0.25">
      <c r="A193" s="22" t="s">
        <v>52</v>
      </c>
      <c r="B193" s="22" t="s">
        <v>254</v>
      </c>
      <c r="C193" s="22">
        <v>358</v>
      </c>
      <c r="D193" s="22">
        <v>1024</v>
      </c>
      <c r="E193" s="22">
        <v>50</v>
      </c>
      <c r="F193" s="22">
        <v>5500</v>
      </c>
      <c r="G193" s="22">
        <v>7.1</v>
      </c>
      <c r="H193" s="22" t="s">
        <v>13</v>
      </c>
      <c r="I193" s="22" t="s">
        <v>14</v>
      </c>
      <c r="J193" s="22">
        <v>4</v>
      </c>
    </row>
    <row r="194" spans="1:10" x14ac:dyDescent="0.25">
      <c r="A194" s="22" t="s">
        <v>24</v>
      </c>
      <c r="B194" s="22" t="s">
        <v>255</v>
      </c>
      <c r="C194" s="22">
        <v>359</v>
      </c>
      <c r="D194" s="22">
        <v>512</v>
      </c>
      <c r="E194" s="22">
        <v>200</v>
      </c>
      <c r="F194" s="22">
        <v>4500</v>
      </c>
      <c r="G194" s="22">
        <v>6.1</v>
      </c>
      <c r="H194" s="22" t="s">
        <v>13</v>
      </c>
      <c r="I194" s="22" t="s">
        <v>14</v>
      </c>
      <c r="J194" s="22">
        <v>4.0999999999999996</v>
      </c>
    </row>
    <row r="195" spans="1:10" x14ac:dyDescent="0.25">
      <c r="A195" s="22" t="s">
        <v>11</v>
      </c>
      <c r="B195" s="22" t="s">
        <v>256</v>
      </c>
      <c r="C195" s="22">
        <v>360</v>
      </c>
      <c r="D195" s="22">
        <v>256</v>
      </c>
      <c r="E195" s="22">
        <v>108</v>
      </c>
      <c r="F195" s="22">
        <v>4000</v>
      </c>
      <c r="G195" s="22">
        <v>6.6</v>
      </c>
      <c r="H195" s="22" t="s">
        <v>13</v>
      </c>
      <c r="I195" s="22" t="s">
        <v>14</v>
      </c>
      <c r="J195" s="22">
        <v>4.0999999999999996</v>
      </c>
    </row>
    <row r="196" spans="1:10" x14ac:dyDescent="0.25">
      <c r="A196" s="22" t="s">
        <v>11</v>
      </c>
      <c r="B196" s="22" t="s">
        <v>257</v>
      </c>
      <c r="C196" s="22">
        <v>361</v>
      </c>
      <c r="D196" s="22">
        <v>256</v>
      </c>
      <c r="E196" s="22">
        <v>108</v>
      </c>
      <c r="F196" s="22">
        <v>4000</v>
      </c>
      <c r="G196" s="22">
        <v>6.1</v>
      </c>
      <c r="H196" s="22" t="s">
        <v>13</v>
      </c>
      <c r="I196" s="22" t="s">
        <v>14</v>
      </c>
      <c r="J196" s="22">
        <v>4.5</v>
      </c>
    </row>
    <row r="197" spans="1:10" x14ac:dyDescent="0.25">
      <c r="A197" s="22" t="s">
        <v>33</v>
      </c>
      <c r="B197" s="22" t="s">
        <v>258</v>
      </c>
      <c r="C197" s="22">
        <v>363</v>
      </c>
      <c r="D197" s="22">
        <v>64</v>
      </c>
      <c r="E197" s="22">
        <v>200</v>
      </c>
      <c r="F197" s="22">
        <v>6000</v>
      </c>
      <c r="G197" s="22">
        <v>6.8</v>
      </c>
      <c r="H197" s="22" t="s">
        <v>21</v>
      </c>
      <c r="I197" s="22" t="s">
        <v>14</v>
      </c>
      <c r="J197" s="22">
        <v>3.9</v>
      </c>
    </row>
    <row r="198" spans="1:10" x14ac:dyDescent="0.25">
      <c r="A198" s="22" t="s">
        <v>58</v>
      </c>
      <c r="B198" s="22" t="s">
        <v>259</v>
      </c>
      <c r="C198" s="22">
        <v>367</v>
      </c>
      <c r="D198" s="22">
        <v>512</v>
      </c>
      <c r="E198" s="22">
        <v>200</v>
      </c>
      <c r="F198" s="22">
        <v>4500</v>
      </c>
      <c r="G198" s="22">
        <v>7.2</v>
      </c>
      <c r="H198" s="22" t="s">
        <v>13</v>
      </c>
      <c r="I198" s="22" t="s">
        <v>60</v>
      </c>
      <c r="J198" s="22">
        <v>4.2</v>
      </c>
    </row>
    <row r="199" spans="1:10" x14ac:dyDescent="0.25">
      <c r="A199" s="22" t="s">
        <v>33</v>
      </c>
      <c r="B199" s="22" t="s">
        <v>260</v>
      </c>
      <c r="C199" s="22">
        <v>371</v>
      </c>
      <c r="D199" s="22">
        <v>64</v>
      </c>
      <c r="E199" s="22">
        <v>200</v>
      </c>
      <c r="F199" s="22">
        <v>5500</v>
      </c>
      <c r="G199" s="22">
        <v>5.7</v>
      </c>
      <c r="H199" s="22" t="s">
        <v>21</v>
      </c>
      <c r="I199" s="22" t="s">
        <v>14</v>
      </c>
      <c r="J199" s="22">
        <v>3.6</v>
      </c>
    </row>
    <row r="200" spans="1:10" x14ac:dyDescent="0.25">
      <c r="A200" s="22" t="s">
        <v>52</v>
      </c>
      <c r="B200" s="22" t="s">
        <v>261</v>
      </c>
      <c r="C200" s="22">
        <v>373</v>
      </c>
      <c r="D200" s="22">
        <v>256</v>
      </c>
      <c r="E200" s="22">
        <v>12</v>
      </c>
      <c r="F200" s="22">
        <v>4500</v>
      </c>
      <c r="G200" s="22">
        <v>6.2</v>
      </c>
      <c r="H200" s="22" t="s">
        <v>21</v>
      </c>
      <c r="I200" s="22" t="s">
        <v>14</v>
      </c>
      <c r="J200" s="22">
        <v>3.9</v>
      </c>
    </row>
    <row r="201" spans="1:10" x14ac:dyDescent="0.25">
      <c r="A201" s="22" t="s">
        <v>91</v>
      </c>
      <c r="B201" s="22" t="s">
        <v>262</v>
      </c>
      <c r="C201" s="22">
        <v>375</v>
      </c>
      <c r="D201" s="22">
        <v>512</v>
      </c>
      <c r="E201" s="22">
        <v>50</v>
      </c>
      <c r="F201" s="22">
        <v>5000</v>
      </c>
      <c r="G201" s="22">
        <v>7</v>
      </c>
      <c r="H201" s="22" t="s">
        <v>13</v>
      </c>
      <c r="I201" s="22" t="s">
        <v>14</v>
      </c>
      <c r="J201" s="22">
        <v>4.4000000000000004</v>
      </c>
    </row>
    <row r="202" spans="1:10" x14ac:dyDescent="0.25">
      <c r="A202" s="22" t="s">
        <v>58</v>
      </c>
      <c r="B202" s="22" t="s">
        <v>263</v>
      </c>
      <c r="C202" s="22">
        <v>377</v>
      </c>
      <c r="D202" s="22">
        <v>512</v>
      </c>
      <c r="E202" s="22">
        <v>200</v>
      </c>
      <c r="F202" s="22">
        <v>5000</v>
      </c>
      <c r="G202" s="22">
        <v>7</v>
      </c>
      <c r="H202" s="22" t="s">
        <v>21</v>
      </c>
      <c r="I202" s="22" t="s">
        <v>60</v>
      </c>
      <c r="J202" s="22">
        <v>4.5999999999999996</v>
      </c>
    </row>
    <row r="203" spans="1:10" x14ac:dyDescent="0.25">
      <c r="A203" s="22" t="s">
        <v>19</v>
      </c>
      <c r="B203" s="22" t="s">
        <v>264</v>
      </c>
      <c r="C203" s="22">
        <v>377</v>
      </c>
      <c r="D203" s="22">
        <v>128</v>
      </c>
      <c r="E203" s="22">
        <v>50</v>
      </c>
      <c r="F203" s="22">
        <v>5500</v>
      </c>
      <c r="G203" s="22">
        <v>7</v>
      </c>
      <c r="H203" s="22" t="s">
        <v>21</v>
      </c>
      <c r="I203" s="22" t="s">
        <v>14</v>
      </c>
      <c r="J203" s="22">
        <v>4.3</v>
      </c>
    </row>
    <row r="204" spans="1:10" x14ac:dyDescent="0.25">
      <c r="A204" s="22" t="s">
        <v>24</v>
      </c>
      <c r="B204" s="22" t="s">
        <v>265</v>
      </c>
      <c r="C204" s="22">
        <v>378</v>
      </c>
      <c r="D204" s="22">
        <v>512</v>
      </c>
      <c r="E204" s="22">
        <v>12</v>
      </c>
      <c r="F204" s="22">
        <v>5000</v>
      </c>
      <c r="G204" s="22">
        <v>6.9</v>
      </c>
      <c r="H204" s="22" t="s">
        <v>21</v>
      </c>
      <c r="I204" s="22" t="s">
        <v>14</v>
      </c>
      <c r="J204" s="22">
        <v>3.7</v>
      </c>
    </row>
    <row r="205" spans="1:10" x14ac:dyDescent="0.25">
      <c r="A205" s="22" t="s">
        <v>19</v>
      </c>
      <c r="B205" s="22" t="s">
        <v>266</v>
      </c>
      <c r="C205" s="22">
        <v>380</v>
      </c>
      <c r="D205" s="22">
        <v>64</v>
      </c>
      <c r="E205" s="22">
        <v>48</v>
      </c>
      <c r="F205" s="22">
        <v>5000</v>
      </c>
      <c r="G205" s="22">
        <v>7.2</v>
      </c>
      <c r="H205" s="22" t="s">
        <v>21</v>
      </c>
      <c r="I205" s="22" t="s">
        <v>14</v>
      </c>
      <c r="J205" s="22">
        <v>4.5</v>
      </c>
    </row>
    <row r="206" spans="1:10" x14ac:dyDescent="0.25">
      <c r="A206" s="22" t="s">
        <v>52</v>
      </c>
      <c r="B206" s="22" t="s">
        <v>267</v>
      </c>
      <c r="C206" s="22">
        <v>383</v>
      </c>
      <c r="D206" s="22">
        <v>512</v>
      </c>
      <c r="E206" s="22">
        <v>50</v>
      </c>
      <c r="F206" s="22">
        <v>4500</v>
      </c>
      <c r="G206" s="22">
        <v>6.4</v>
      </c>
      <c r="H206" s="22" t="s">
        <v>13</v>
      </c>
      <c r="I206" s="22" t="s">
        <v>14</v>
      </c>
      <c r="J206" s="22">
        <v>5</v>
      </c>
    </row>
    <row r="207" spans="1:10" x14ac:dyDescent="0.25">
      <c r="A207" s="22" t="s">
        <v>58</v>
      </c>
      <c r="B207" s="22" t="s">
        <v>268</v>
      </c>
      <c r="C207" s="22">
        <v>383</v>
      </c>
      <c r="D207" s="22">
        <v>1024</v>
      </c>
      <c r="E207" s="22">
        <v>64</v>
      </c>
      <c r="F207" s="22">
        <v>5500</v>
      </c>
      <c r="G207" s="22">
        <v>6.7</v>
      </c>
      <c r="H207" s="22" t="s">
        <v>21</v>
      </c>
      <c r="I207" s="22" t="s">
        <v>60</v>
      </c>
      <c r="J207" s="22">
        <v>3.6</v>
      </c>
    </row>
    <row r="208" spans="1:10" x14ac:dyDescent="0.25">
      <c r="A208" s="22" t="s">
        <v>91</v>
      </c>
      <c r="B208" s="22" t="s">
        <v>269</v>
      </c>
      <c r="C208" s="22">
        <v>385</v>
      </c>
      <c r="D208" s="22">
        <v>64</v>
      </c>
      <c r="E208" s="22">
        <v>48</v>
      </c>
      <c r="F208" s="22">
        <v>6000</v>
      </c>
      <c r="G208" s="22">
        <v>6</v>
      </c>
      <c r="H208" s="22" t="s">
        <v>13</v>
      </c>
      <c r="I208" s="22" t="s">
        <v>14</v>
      </c>
      <c r="J208" s="22">
        <v>4.9000000000000004</v>
      </c>
    </row>
    <row r="209" spans="1:10" x14ac:dyDescent="0.25">
      <c r="A209" s="22" t="s">
        <v>16</v>
      </c>
      <c r="B209" s="22" t="s">
        <v>270</v>
      </c>
      <c r="C209" s="22">
        <v>386</v>
      </c>
      <c r="D209" s="22">
        <v>128</v>
      </c>
      <c r="E209" s="22">
        <v>12</v>
      </c>
      <c r="F209" s="22">
        <v>4500</v>
      </c>
      <c r="G209" s="22">
        <v>6.2</v>
      </c>
      <c r="H209" s="22" t="s">
        <v>13</v>
      </c>
      <c r="I209" s="22" t="s">
        <v>14</v>
      </c>
      <c r="J209" s="22">
        <v>4.5</v>
      </c>
    </row>
    <row r="210" spans="1:10" x14ac:dyDescent="0.25">
      <c r="A210" s="22" t="s">
        <v>33</v>
      </c>
      <c r="B210" s="22" t="s">
        <v>271</v>
      </c>
      <c r="C210" s="22">
        <v>389</v>
      </c>
      <c r="D210" s="22">
        <v>512</v>
      </c>
      <c r="E210" s="22">
        <v>200</v>
      </c>
      <c r="F210" s="22">
        <v>4500</v>
      </c>
      <c r="G210" s="22">
        <v>6.2</v>
      </c>
      <c r="H210" s="22" t="s">
        <v>13</v>
      </c>
      <c r="I210" s="22" t="s">
        <v>14</v>
      </c>
      <c r="J210" s="22">
        <v>4.8</v>
      </c>
    </row>
    <row r="211" spans="1:10" x14ac:dyDescent="0.25">
      <c r="A211" s="22" t="s">
        <v>16</v>
      </c>
      <c r="B211" s="22" t="s">
        <v>272</v>
      </c>
      <c r="C211" s="22">
        <v>391</v>
      </c>
      <c r="D211" s="22">
        <v>256</v>
      </c>
      <c r="E211" s="22">
        <v>200</v>
      </c>
      <c r="F211" s="22">
        <v>6000</v>
      </c>
      <c r="G211" s="22">
        <v>6.3</v>
      </c>
      <c r="H211" s="22" t="s">
        <v>21</v>
      </c>
      <c r="I211" s="22" t="s">
        <v>14</v>
      </c>
      <c r="J211" s="22">
        <v>4.2</v>
      </c>
    </row>
    <row r="212" spans="1:10" x14ac:dyDescent="0.25">
      <c r="A212" s="22" t="s">
        <v>91</v>
      </c>
      <c r="B212" s="22" t="s">
        <v>273</v>
      </c>
      <c r="C212" s="22">
        <v>391</v>
      </c>
      <c r="D212" s="22">
        <v>1024</v>
      </c>
      <c r="E212" s="22">
        <v>64</v>
      </c>
      <c r="F212" s="22">
        <v>5000</v>
      </c>
      <c r="G212" s="22">
        <v>6.9</v>
      </c>
      <c r="H212" s="22" t="s">
        <v>13</v>
      </c>
      <c r="I212" s="22" t="s">
        <v>14</v>
      </c>
      <c r="J212" s="22">
        <v>3.7</v>
      </c>
    </row>
    <row r="213" spans="1:10" x14ac:dyDescent="0.25">
      <c r="A213" s="22" t="s">
        <v>33</v>
      </c>
      <c r="B213" s="22" t="s">
        <v>274</v>
      </c>
      <c r="C213" s="22">
        <v>394</v>
      </c>
      <c r="D213" s="22">
        <v>128</v>
      </c>
      <c r="E213" s="22">
        <v>200</v>
      </c>
      <c r="F213" s="22">
        <v>5000</v>
      </c>
      <c r="G213" s="22">
        <v>5.9</v>
      </c>
      <c r="H213" s="22" t="s">
        <v>13</v>
      </c>
      <c r="I213" s="22" t="s">
        <v>14</v>
      </c>
      <c r="J213" s="22">
        <v>4.5</v>
      </c>
    </row>
    <row r="214" spans="1:10" x14ac:dyDescent="0.25">
      <c r="A214" s="22" t="s">
        <v>91</v>
      </c>
      <c r="B214" s="22" t="s">
        <v>275</v>
      </c>
      <c r="C214" s="22">
        <v>400</v>
      </c>
      <c r="D214" s="22">
        <v>1024</v>
      </c>
      <c r="E214" s="22">
        <v>108</v>
      </c>
      <c r="F214" s="22">
        <v>6000</v>
      </c>
      <c r="G214" s="22">
        <v>7.2</v>
      </c>
      <c r="H214" s="22" t="s">
        <v>21</v>
      </c>
      <c r="I214" s="22" t="s">
        <v>14</v>
      </c>
      <c r="J214" s="22">
        <v>3.8</v>
      </c>
    </row>
    <row r="215" spans="1:10" x14ac:dyDescent="0.25">
      <c r="A215" s="22" t="s">
        <v>52</v>
      </c>
      <c r="B215" s="22" t="s">
        <v>276</v>
      </c>
      <c r="C215" s="22">
        <v>402</v>
      </c>
      <c r="D215" s="22">
        <v>1024</v>
      </c>
      <c r="E215" s="22">
        <v>48</v>
      </c>
      <c r="F215" s="22">
        <v>6000</v>
      </c>
      <c r="G215" s="22">
        <v>5.8</v>
      </c>
      <c r="H215" s="22" t="s">
        <v>21</v>
      </c>
      <c r="I215" s="22" t="s">
        <v>14</v>
      </c>
      <c r="J215" s="22">
        <v>4.3</v>
      </c>
    </row>
    <row r="216" spans="1:10" x14ac:dyDescent="0.25">
      <c r="A216" s="22" t="s">
        <v>24</v>
      </c>
      <c r="B216" s="22" t="s">
        <v>277</v>
      </c>
      <c r="C216" s="22">
        <v>404</v>
      </c>
      <c r="D216" s="22">
        <v>128</v>
      </c>
      <c r="E216" s="22">
        <v>48</v>
      </c>
      <c r="F216" s="22">
        <v>4500</v>
      </c>
      <c r="G216" s="22">
        <v>6.9</v>
      </c>
      <c r="H216" s="22" t="s">
        <v>21</v>
      </c>
      <c r="I216" s="22" t="s">
        <v>14</v>
      </c>
      <c r="J216" s="22">
        <v>3.9</v>
      </c>
    </row>
    <row r="217" spans="1:10" x14ac:dyDescent="0.25">
      <c r="A217" s="22" t="s">
        <v>33</v>
      </c>
      <c r="B217" s="22" t="s">
        <v>278</v>
      </c>
      <c r="C217" s="22">
        <v>404</v>
      </c>
      <c r="D217" s="22">
        <v>1024</v>
      </c>
      <c r="E217" s="22">
        <v>50</v>
      </c>
      <c r="F217" s="22">
        <v>5000</v>
      </c>
      <c r="G217" s="22">
        <v>7</v>
      </c>
      <c r="H217" s="22" t="s">
        <v>21</v>
      </c>
      <c r="I217" s="22" t="s">
        <v>14</v>
      </c>
      <c r="J217" s="22">
        <v>4.0999999999999996</v>
      </c>
    </row>
    <row r="218" spans="1:10" x14ac:dyDescent="0.25">
      <c r="A218" s="22" t="s">
        <v>58</v>
      </c>
      <c r="B218" s="22" t="s">
        <v>279</v>
      </c>
      <c r="C218" s="22">
        <v>405</v>
      </c>
      <c r="D218" s="22">
        <v>1024</v>
      </c>
      <c r="E218" s="22">
        <v>50</v>
      </c>
      <c r="F218" s="22">
        <v>5500</v>
      </c>
      <c r="G218" s="22">
        <v>5.8</v>
      </c>
      <c r="H218" s="22" t="s">
        <v>21</v>
      </c>
      <c r="I218" s="22" t="s">
        <v>60</v>
      </c>
      <c r="J218" s="22">
        <v>3.7</v>
      </c>
    </row>
    <row r="219" spans="1:10" x14ac:dyDescent="0.25">
      <c r="A219" s="22" t="s">
        <v>52</v>
      </c>
      <c r="B219" s="22" t="s">
        <v>280</v>
      </c>
      <c r="C219" s="22">
        <v>406</v>
      </c>
      <c r="D219" s="22">
        <v>256</v>
      </c>
      <c r="E219" s="22">
        <v>64</v>
      </c>
      <c r="F219" s="22">
        <v>4500</v>
      </c>
      <c r="G219" s="22">
        <v>6.7</v>
      </c>
      <c r="H219" s="22" t="s">
        <v>13</v>
      </c>
      <c r="I219" s="22" t="s">
        <v>14</v>
      </c>
      <c r="J219" s="22">
        <v>4.2</v>
      </c>
    </row>
    <row r="220" spans="1:10" x14ac:dyDescent="0.25">
      <c r="A220" s="22" t="s">
        <v>11</v>
      </c>
      <c r="B220" s="22" t="s">
        <v>281</v>
      </c>
      <c r="C220" s="22">
        <v>408</v>
      </c>
      <c r="D220" s="22">
        <v>512</v>
      </c>
      <c r="E220" s="22">
        <v>108</v>
      </c>
      <c r="F220" s="22">
        <v>5500</v>
      </c>
      <c r="G220" s="22">
        <v>6.4</v>
      </c>
      <c r="H220" s="22" t="s">
        <v>13</v>
      </c>
      <c r="I220" s="22" t="s">
        <v>14</v>
      </c>
      <c r="J220" s="22">
        <v>4.3</v>
      </c>
    </row>
    <row r="221" spans="1:10" x14ac:dyDescent="0.25">
      <c r="A221" s="22" t="s">
        <v>33</v>
      </c>
      <c r="B221" s="22" t="s">
        <v>282</v>
      </c>
      <c r="C221" s="22">
        <v>410</v>
      </c>
      <c r="D221" s="22">
        <v>512</v>
      </c>
      <c r="E221" s="22">
        <v>12</v>
      </c>
      <c r="F221" s="22">
        <v>5500</v>
      </c>
      <c r="G221" s="22">
        <v>6</v>
      </c>
      <c r="H221" s="22" t="s">
        <v>21</v>
      </c>
      <c r="I221" s="22" t="s">
        <v>14</v>
      </c>
      <c r="J221" s="22">
        <v>4.5999999999999996</v>
      </c>
    </row>
    <row r="222" spans="1:10" x14ac:dyDescent="0.25">
      <c r="A222" s="22" t="s">
        <v>11</v>
      </c>
      <c r="B222" s="22" t="s">
        <v>283</v>
      </c>
      <c r="C222" s="22">
        <v>410</v>
      </c>
      <c r="D222" s="22">
        <v>64</v>
      </c>
      <c r="E222" s="22">
        <v>12</v>
      </c>
      <c r="F222" s="22">
        <v>5500</v>
      </c>
      <c r="G222" s="22">
        <v>5.9</v>
      </c>
      <c r="H222" s="22" t="s">
        <v>13</v>
      </c>
      <c r="I222" s="22" t="s">
        <v>14</v>
      </c>
      <c r="J222" s="22">
        <v>4.7</v>
      </c>
    </row>
    <row r="223" spans="1:10" x14ac:dyDescent="0.25">
      <c r="A223" s="22" t="s">
        <v>16</v>
      </c>
      <c r="B223" s="22" t="s">
        <v>284</v>
      </c>
      <c r="C223" s="22">
        <v>410</v>
      </c>
      <c r="D223" s="22">
        <v>1024</v>
      </c>
      <c r="E223" s="22">
        <v>64</v>
      </c>
      <c r="F223" s="22">
        <v>5000</v>
      </c>
      <c r="G223" s="22">
        <v>6.7</v>
      </c>
      <c r="H223" s="22" t="s">
        <v>21</v>
      </c>
      <c r="I223" s="22" t="s">
        <v>14</v>
      </c>
      <c r="J223" s="22">
        <v>4.3</v>
      </c>
    </row>
    <row r="224" spans="1:10" x14ac:dyDescent="0.25">
      <c r="A224" s="22" t="s">
        <v>33</v>
      </c>
      <c r="B224" s="22" t="s">
        <v>285</v>
      </c>
      <c r="C224" s="22">
        <v>412</v>
      </c>
      <c r="D224" s="22">
        <v>512</v>
      </c>
      <c r="E224" s="22">
        <v>200</v>
      </c>
      <c r="F224" s="22">
        <v>4500</v>
      </c>
      <c r="G224" s="22">
        <v>6.3</v>
      </c>
      <c r="H224" s="22" t="s">
        <v>13</v>
      </c>
      <c r="I224" s="22" t="s">
        <v>14</v>
      </c>
      <c r="J224" s="22">
        <v>3.9</v>
      </c>
    </row>
    <row r="225" spans="1:10" x14ac:dyDescent="0.25">
      <c r="A225" s="22" t="s">
        <v>16</v>
      </c>
      <c r="B225" s="22" t="s">
        <v>286</v>
      </c>
      <c r="C225" s="22">
        <v>413</v>
      </c>
      <c r="D225" s="22">
        <v>64</v>
      </c>
      <c r="E225" s="22">
        <v>200</v>
      </c>
      <c r="F225" s="22">
        <v>4000</v>
      </c>
      <c r="G225" s="22">
        <v>7</v>
      </c>
      <c r="H225" s="22" t="s">
        <v>21</v>
      </c>
      <c r="I225" s="22" t="s">
        <v>14</v>
      </c>
      <c r="J225" s="22">
        <v>4.4000000000000004</v>
      </c>
    </row>
    <row r="226" spans="1:10" x14ac:dyDescent="0.25">
      <c r="A226" s="22" t="s">
        <v>24</v>
      </c>
      <c r="B226" s="22" t="s">
        <v>287</v>
      </c>
      <c r="C226" s="22">
        <v>413</v>
      </c>
      <c r="D226" s="22">
        <v>64</v>
      </c>
      <c r="E226" s="22">
        <v>48</v>
      </c>
      <c r="F226" s="22">
        <v>4500</v>
      </c>
      <c r="G226" s="22">
        <v>6.5</v>
      </c>
      <c r="H226" s="22" t="s">
        <v>21</v>
      </c>
      <c r="I226" s="22" t="s">
        <v>14</v>
      </c>
      <c r="J226" s="22">
        <v>3.6</v>
      </c>
    </row>
    <row r="227" spans="1:10" x14ac:dyDescent="0.25">
      <c r="A227" s="22" t="s">
        <v>33</v>
      </c>
      <c r="B227" s="22" t="s">
        <v>288</v>
      </c>
      <c r="C227" s="22">
        <v>416</v>
      </c>
      <c r="D227" s="22">
        <v>128</v>
      </c>
      <c r="E227" s="22">
        <v>48</v>
      </c>
      <c r="F227" s="22">
        <v>5500</v>
      </c>
      <c r="G227" s="22">
        <v>6.1</v>
      </c>
      <c r="H227" s="22" t="s">
        <v>13</v>
      </c>
      <c r="I227" s="22" t="s">
        <v>14</v>
      </c>
      <c r="J227" s="22">
        <v>4.2</v>
      </c>
    </row>
    <row r="228" spans="1:10" x14ac:dyDescent="0.25">
      <c r="A228" s="22" t="s">
        <v>11</v>
      </c>
      <c r="B228" s="22" t="s">
        <v>289</v>
      </c>
      <c r="C228" s="22">
        <v>417</v>
      </c>
      <c r="D228" s="22">
        <v>512</v>
      </c>
      <c r="E228" s="22">
        <v>50</v>
      </c>
      <c r="F228" s="22">
        <v>6000</v>
      </c>
      <c r="G228" s="22">
        <v>6.9</v>
      </c>
      <c r="H228" s="22" t="s">
        <v>21</v>
      </c>
      <c r="I228" s="22" t="s">
        <v>14</v>
      </c>
      <c r="J228" s="22">
        <v>3.6</v>
      </c>
    </row>
    <row r="229" spans="1:10" x14ac:dyDescent="0.25">
      <c r="A229" s="22" t="s">
        <v>24</v>
      </c>
      <c r="B229" s="22" t="s">
        <v>290</v>
      </c>
      <c r="C229" s="22">
        <v>418</v>
      </c>
      <c r="D229" s="22">
        <v>256</v>
      </c>
      <c r="E229" s="22">
        <v>64</v>
      </c>
      <c r="F229" s="22">
        <v>6000</v>
      </c>
      <c r="G229" s="22">
        <v>6.9</v>
      </c>
      <c r="H229" s="22" t="s">
        <v>13</v>
      </c>
      <c r="I229" s="22" t="s">
        <v>14</v>
      </c>
      <c r="J229" s="22">
        <v>4.0999999999999996</v>
      </c>
    </row>
    <row r="230" spans="1:10" x14ac:dyDescent="0.25">
      <c r="A230" s="22" t="s">
        <v>52</v>
      </c>
      <c r="B230" s="22" t="s">
        <v>291</v>
      </c>
      <c r="C230" s="22">
        <v>419</v>
      </c>
      <c r="D230" s="22">
        <v>512</v>
      </c>
      <c r="E230" s="22">
        <v>12</v>
      </c>
      <c r="F230" s="22">
        <v>6000</v>
      </c>
      <c r="G230" s="22">
        <v>6.3</v>
      </c>
      <c r="H230" s="22" t="s">
        <v>13</v>
      </c>
      <c r="I230" s="22" t="s">
        <v>14</v>
      </c>
      <c r="J230" s="22">
        <v>3.6</v>
      </c>
    </row>
    <row r="231" spans="1:10" x14ac:dyDescent="0.25">
      <c r="A231" s="22" t="s">
        <v>91</v>
      </c>
      <c r="B231" s="22" t="s">
        <v>292</v>
      </c>
      <c r="C231" s="22">
        <v>419</v>
      </c>
      <c r="D231" s="22">
        <v>128</v>
      </c>
      <c r="E231" s="22">
        <v>64</v>
      </c>
      <c r="F231" s="22">
        <v>6000</v>
      </c>
      <c r="G231" s="22">
        <v>7.1</v>
      </c>
      <c r="H231" s="22" t="s">
        <v>21</v>
      </c>
      <c r="I231" s="22" t="s">
        <v>14</v>
      </c>
      <c r="J231" s="22">
        <v>4.9000000000000004</v>
      </c>
    </row>
    <row r="232" spans="1:10" x14ac:dyDescent="0.25">
      <c r="A232" s="22" t="s">
        <v>11</v>
      </c>
      <c r="B232" s="22" t="s">
        <v>293</v>
      </c>
      <c r="C232" s="22">
        <v>423</v>
      </c>
      <c r="D232" s="22">
        <v>256</v>
      </c>
      <c r="E232" s="22">
        <v>48</v>
      </c>
      <c r="F232" s="22">
        <v>4000</v>
      </c>
      <c r="G232" s="22">
        <v>6.5</v>
      </c>
      <c r="H232" s="22" t="s">
        <v>21</v>
      </c>
      <c r="I232" s="22" t="s">
        <v>14</v>
      </c>
      <c r="J232" s="22">
        <v>4.5999999999999996</v>
      </c>
    </row>
    <row r="233" spans="1:10" x14ac:dyDescent="0.25">
      <c r="A233" s="22" t="s">
        <v>33</v>
      </c>
      <c r="B233" s="22" t="s">
        <v>294</v>
      </c>
      <c r="C233" s="22">
        <v>427</v>
      </c>
      <c r="D233" s="22">
        <v>512</v>
      </c>
      <c r="E233" s="22">
        <v>48</v>
      </c>
      <c r="F233" s="22">
        <v>5000</v>
      </c>
      <c r="G233" s="22">
        <v>5.8</v>
      </c>
      <c r="H233" s="22" t="s">
        <v>13</v>
      </c>
      <c r="I233" s="22" t="s">
        <v>14</v>
      </c>
      <c r="J233" s="22">
        <v>3.8</v>
      </c>
    </row>
    <row r="234" spans="1:10" x14ac:dyDescent="0.25">
      <c r="A234" s="22" t="s">
        <v>24</v>
      </c>
      <c r="B234" s="22" t="s">
        <v>295</v>
      </c>
      <c r="C234" s="22">
        <v>429</v>
      </c>
      <c r="D234" s="22">
        <v>128</v>
      </c>
      <c r="E234" s="22">
        <v>108</v>
      </c>
      <c r="F234" s="22">
        <v>4500</v>
      </c>
      <c r="G234" s="22">
        <v>6.9</v>
      </c>
      <c r="H234" s="22" t="s">
        <v>21</v>
      </c>
      <c r="I234" s="22" t="s">
        <v>14</v>
      </c>
      <c r="J234" s="22">
        <v>4.2</v>
      </c>
    </row>
    <row r="235" spans="1:10" x14ac:dyDescent="0.25">
      <c r="A235" s="22" t="s">
        <v>52</v>
      </c>
      <c r="B235" s="22" t="s">
        <v>296</v>
      </c>
      <c r="C235" s="22">
        <v>429</v>
      </c>
      <c r="D235" s="22">
        <v>1024</v>
      </c>
      <c r="E235" s="22">
        <v>200</v>
      </c>
      <c r="F235" s="22">
        <v>4000</v>
      </c>
      <c r="G235" s="22">
        <v>5.8</v>
      </c>
      <c r="H235" s="22" t="s">
        <v>13</v>
      </c>
      <c r="I235" s="22" t="s">
        <v>14</v>
      </c>
      <c r="J235" s="22">
        <v>3.7</v>
      </c>
    </row>
    <row r="236" spans="1:10" x14ac:dyDescent="0.25">
      <c r="A236" s="22" t="s">
        <v>47</v>
      </c>
      <c r="B236" s="22" t="s">
        <v>297</v>
      </c>
      <c r="C236" s="22">
        <v>429</v>
      </c>
      <c r="D236" s="22">
        <v>512</v>
      </c>
      <c r="E236" s="22">
        <v>48</v>
      </c>
      <c r="F236" s="22">
        <v>4000</v>
      </c>
      <c r="G236" s="22">
        <v>5.9</v>
      </c>
      <c r="H236" s="22" t="s">
        <v>13</v>
      </c>
      <c r="I236" s="22" t="s">
        <v>14</v>
      </c>
      <c r="J236" s="22">
        <v>4</v>
      </c>
    </row>
    <row r="237" spans="1:10" x14ac:dyDescent="0.25">
      <c r="A237" s="22" t="s">
        <v>16</v>
      </c>
      <c r="B237" s="22" t="s">
        <v>298</v>
      </c>
      <c r="C237" s="22">
        <v>435</v>
      </c>
      <c r="D237" s="22">
        <v>1024</v>
      </c>
      <c r="E237" s="22">
        <v>48</v>
      </c>
      <c r="F237" s="22">
        <v>4000</v>
      </c>
      <c r="G237" s="22">
        <v>5.9</v>
      </c>
      <c r="H237" s="22" t="s">
        <v>13</v>
      </c>
      <c r="I237" s="22" t="s">
        <v>14</v>
      </c>
      <c r="J237" s="22">
        <v>3.7</v>
      </c>
    </row>
    <row r="238" spans="1:10" x14ac:dyDescent="0.25">
      <c r="A238" s="22" t="s">
        <v>58</v>
      </c>
      <c r="B238" s="22" t="s">
        <v>299</v>
      </c>
      <c r="C238" s="22">
        <v>436</v>
      </c>
      <c r="D238" s="22">
        <v>1024</v>
      </c>
      <c r="E238" s="22">
        <v>50</v>
      </c>
      <c r="F238" s="22">
        <v>5000</v>
      </c>
      <c r="G238" s="22">
        <v>5.9</v>
      </c>
      <c r="H238" s="22" t="s">
        <v>21</v>
      </c>
      <c r="I238" s="22" t="s">
        <v>60</v>
      </c>
      <c r="J238" s="22">
        <v>4.5</v>
      </c>
    </row>
    <row r="239" spans="1:10" x14ac:dyDescent="0.25">
      <c r="A239" s="22" t="s">
        <v>47</v>
      </c>
      <c r="B239" s="22" t="s">
        <v>300</v>
      </c>
      <c r="C239" s="22">
        <v>437</v>
      </c>
      <c r="D239" s="22">
        <v>128</v>
      </c>
      <c r="E239" s="22">
        <v>64</v>
      </c>
      <c r="F239" s="22">
        <v>4500</v>
      </c>
      <c r="G239" s="22">
        <v>6.9</v>
      </c>
      <c r="H239" s="22" t="s">
        <v>21</v>
      </c>
      <c r="I239" s="22" t="s">
        <v>14</v>
      </c>
      <c r="J239" s="22">
        <v>4.3</v>
      </c>
    </row>
    <row r="240" spans="1:10" x14ac:dyDescent="0.25">
      <c r="A240" s="22" t="s">
        <v>33</v>
      </c>
      <c r="B240" s="22" t="s">
        <v>301</v>
      </c>
      <c r="C240" s="22">
        <v>437</v>
      </c>
      <c r="D240" s="22">
        <v>128</v>
      </c>
      <c r="E240" s="22">
        <v>12</v>
      </c>
      <c r="F240" s="22">
        <v>6000</v>
      </c>
      <c r="G240" s="22">
        <v>6.6</v>
      </c>
      <c r="H240" s="22" t="s">
        <v>21</v>
      </c>
      <c r="I240" s="22" t="s">
        <v>14</v>
      </c>
      <c r="J240" s="22">
        <v>4.5999999999999996</v>
      </c>
    </row>
    <row r="241" spans="1:10" x14ac:dyDescent="0.25">
      <c r="A241" s="22" t="s">
        <v>11</v>
      </c>
      <c r="B241" s="22" t="s">
        <v>302</v>
      </c>
      <c r="C241" s="22">
        <v>437</v>
      </c>
      <c r="D241" s="22">
        <v>256</v>
      </c>
      <c r="E241" s="22">
        <v>50</v>
      </c>
      <c r="F241" s="22">
        <v>4000</v>
      </c>
      <c r="G241" s="22">
        <v>6.9</v>
      </c>
      <c r="H241" s="22" t="s">
        <v>21</v>
      </c>
      <c r="I241" s="22" t="s">
        <v>14</v>
      </c>
      <c r="J241" s="22">
        <v>4.7</v>
      </c>
    </row>
    <row r="242" spans="1:10" x14ac:dyDescent="0.25">
      <c r="A242" s="22" t="s">
        <v>91</v>
      </c>
      <c r="B242" s="22" t="s">
        <v>303</v>
      </c>
      <c r="C242" s="22">
        <v>439</v>
      </c>
      <c r="D242" s="22">
        <v>256</v>
      </c>
      <c r="E242" s="22">
        <v>108</v>
      </c>
      <c r="F242" s="22">
        <v>5500</v>
      </c>
      <c r="G242" s="22">
        <v>5.9</v>
      </c>
      <c r="H242" s="22" t="s">
        <v>21</v>
      </c>
      <c r="I242" s="22" t="s">
        <v>14</v>
      </c>
      <c r="J242" s="22">
        <v>4.5999999999999996</v>
      </c>
    </row>
    <row r="243" spans="1:10" x14ac:dyDescent="0.25">
      <c r="A243" s="22" t="s">
        <v>19</v>
      </c>
      <c r="B243" s="22" t="s">
        <v>304</v>
      </c>
      <c r="C243" s="22">
        <v>439</v>
      </c>
      <c r="D243" s="22">
        <v>64</v>
      </c>
      <c r="E243" s="22">
        <v>12</v>
      </c>
      <c r="F243" s="22">
        <v>6000</v>
      </c>
      <c r="G243" s="22">
        <v>6</v>
      </c>
      <c r="H243" s="22" t="s">
        <v>21</v>
      </c>
      <c r="I243" s="22" t="s">
        <v>14</v>
      </c>
      <c r="J243" s="22">
        <v>5</v>
      </c>
    </row>
    <row r="244" spans="1:10" x14ac:dyDescent="0.25">
      <c r="A244" s="22" t="s">
        <v>47</v>
      </c>
      <c r="B244" s="22" t="s">
        <v>305</v>
      </c>
      <c r="C244" s="22">
        <v>440</v>
      </c>
      <c r="D244" s="22">
        <v>512</v>
      </c>
      <c r="E244" s="22">
        <v>108</v>
      </c>
      <c r="F244" s="22">
        <v>5000</v>
      </c>
      <c r="G244" s="22">
        <v>5.6</v>
      </c>
      <c r="H244" s="22" t="s">
        <v>13</v>
      </c>
      <c r="I244" s="22" t="s">
        <v>14</v>
      </c>
      <c r="J244" s="22">
        <v>4.3</v>
      </c>
    </row>
    <row r="245" spans="1:10" x14ac:dyDescent="0.25">
      <c r="A245" s="22" t="s">
        <v>58</v>
      </c>
      <c r="B245" s="22" t="s">
        <v>306</v>
      </c>
      <c r="C245" s="22">
        <v>442</v>
      </c>
      <c r="D245" s="22">
        <v>256</v>
      </c>
      <c r="E245" s="22">
        <v>108</v>
      </c>
      <c r="F245" s="22">
        <v>5500</v>
      </c>
      <c r="G245" s="22">
        <v>5.8</v>
      </c>
      <c r="H245" s="22" t="s">
        <v>13</v>
      </c>
      <c r="I245" s="22" t="s">
        <v>60</v>
      </c>
      <c r="J245" s="22">
        <v>4.9000000000000004</v>
      </c>
    </row>
    <row r="246" spans="1:10" x14ac:dyDescent="0.25">
      <c r="A246" s="22" t="s">
        <v>91</v>
      </c>
      <c r="B246" s="22" t="s">
        <v>307</v>
      </c>
      <c r="C246" s="22">
        <v>443</v>
      </c>
      <c r="D246" s="22">
        <v>512</v>
      </c>
      <c r="E246" s="22">
        <v>48</v>
      </c>
      <c r="F246" s="22">
        <v>5500</v>
      </c>
      <c r="G246" s="22">
        <v>6.3</v>
      </c>
      <c r="H246" s="22" t="s">
        <v>21</v>
      </c>
      <c r="I246" s="22" t="s">
        <v>14</v>
      </c>
      <c r="J246" s="22">
        <v>4.0999999999999996</v>
      </c>
    </row>
    <row r="247" spans="1:10" x14ac:dyDescent="0.25">
      <c r="A247" s="22" t="s">
        <v>16</v>
      </c>
      <c r="B247" s="22" t="s">
        <v>308</v>
      </c>
      <c r="C247" s="22">
        <v>444</v>
      </c>
      <c r="D247" s="22">
        <v>64</v>
      </c>
      <c r="E247" s="22">
        <v>48</v>
      </c>
      <c r="F247" s="22">
        <v>4500</v>
      </c>
      <c r="G247" s="22">
        <v>7</v>
      </c>
      <c r="H247" s="22" t="s">
        <v>21</v>
      </c>
      <c r="I247" s="22" t="s">
        <v>14</v>
      </c>
      <c r="J247" s="22">
        <v>3.8</v>
      </c>
    </row>
    <row r="248" spans="1:10" x14ac:dyDescent="0.25">
      <c r="A248" s="22" t="s">
        <v>52</v>
      </c>
      <c r="B248" s="22" t="s">
        <v>309</v>
      </c>
      <c r="C248" s="22">
        <v>445</v>
      </c>
      <c r="D248" s="22">
        <v>256</v>
      </c>
      <c r="E248" s="22">
        <v>50</v>
      </c>
      <c r="F248" s="22">
        <v>4000</v>
      </c>
      <c r="G248" s="22">
        <v>6.1</v>
      </c>
      <c r="H248" s="22" t="s">
        <v>13</v>
      </c>
      <c r="I248" s="22" t="s">
        <v>14</v>
      </c>
      <c r="J248" s="22">
        <v>4.2</v>
      </c>
    </row>
    <row r="249" spans="1:10" x14ac:dyDescent="0.25">
      <c r="A249" s="22" t="s">
        <v>58</v>
      </c>
      <c r="B249" s="22" t="s">
        <v>310</v>
      </c>
      <c r="C249" s="22">
        <v>445</v>
      </c>
      <c r="D249" s="22">
        <v>256</v>
      </c>
      <c r="E249" s="22">
        <v>200</v>
      </c>
      <c r="F249" s="22">
        <v>6000</v>
      </c>
      <c r="G249" s="22">
        <v>5.7</v>
      </c>
      <c r="H249" s="22" t="s">
        <v>21</v>
      </c>
      <c r="I249" s="22" t="s">
        <v>60</v>
      </c>
      <c r="J249" s="22">
        <v>4.5</v>
      </c>
    </row>
    <row r="250" spans="1:10" x14ac:dyDescent="0.25">
      <c r="A250" s="22" t="s">
        <v>52</v>
      </c>
      <c r="B250" s="22" t="s">
        <v>311</v>
      </c>
      <c r="C250" s="22">
        <v>447</v>
      </c>
      <c r="D250" s="22">
        <v>256</v>
      </c>
      <c r="E250" s="22">
        <v>48</v>
      </c>
      <c r="F250" s="22">
        <v>5500</v>
      </c>
      <c r="G250" s="22">
        <v>6.1</v>
      </c>
      <c r="H250" s="22" t="s">
        <v>13</v>
      </c>
      <c r="I250" s="22" t="s">
        <v>14</v>
      </c>
      <c r="J250" s="22">
        <v>4.7</v>
      </c>
    </row>
    <row r="251" spans="1:10" x14ac:dyDescent="0.25">
      <c r="A251" s="22" t="s">
        <v>91</v>
      </c>
      <c r="B251" s="22" t="s">
        <v>312</v>
      </c>
      <c r="C251" s="22">
        <v>447</v>
      </c>
      <c r="D251" s="22">
        <v>512</v>
      </c>
      <c r="E251" s="22">
        <v>48</v>
      </c>
      <c r="F251" s="22">
        <v>5500</v>
      </c>
      <c r="G251" s="22">
        <v>6.2</v>
      </c>
      <c r="H251" s="22" t="s">
        <v>21</v>
      </c>
      <c r="I251" s="22" t="s">
        <v>14</v>
      </c>
      <c r="J251" s="22">
        <v>4.4000000000000004</v>
      </c>
    </row>
    <row r="252" spans="1:10" x14ac:dyDescent="0.25">
      <c r="A252" s="22" t="s">
        <v>47</v>
      </c>
      <c r="B252" s="22" t="s">
        <v>313</v>
      </c>
      <c r="C252" s="22">
        <v>450</v>
      </c>
      <c r="D252" s="22">
        <v>128</v>
      </c>
      <c r="E252" s="22">
        <v>12</v>
      </c>
      <c r="F252" s="22">
        <v>4500</v>
      </c>
      <c r="G252" s="22">
        <v>5.6</v>
      </c>
      <c r="H252" s="22" t="s">
        <v>21</v>
      </c>
      <c r="I252" s="22" t="s">
        <v>14</v>
      </c>
      <c r="J252" s="22">
        <v>3.6</v>
      </c>
    </row>
    <row r="253" spans="1:10" x14ac:dyDescent="0.25">
      <c r="A253" s="22" t="s">
        <v>19</v>
      </c>
      <c r="B253" s="22" t="s">
        <v>314</v>
      </c>
      <c r="C253" s="22">
        <v>450</v>
      </c>
      <c r="D253" s="22">
        <v>1024</v>
      </c>
      <c r="E253" s="22">
        <v>50</v>
      </c>
      <c r="F253" s="22">
        <v>5000</v>
      </c>
      <c r="G253" s="22">
        <v>6.6</v>
      </c>
      <c r="H253" s="22" t="s">
        <v>21</v>
      </c>
      <c r="I253" s="22" t="s">
        <v>14</v>
      </c>
      <c r="J253" s="22">
        <v>4.3</v>
      </c>
    </row>
    <row r="254" spans="1:10" x14ac:dyDescent="0.25">
      <c r="A254" s="22" t="s">
        <v>19</v>
      </c>
      <c r="B254" s="22" t="s">
        <v>315</v>
      </c>
      <c r="C254" s="22">
        <v>458</v>
      </c>
      <c r="D254" s="22">
        <v>512</v>
      </c>
      <c r="E254" s="22">
        <v>64</v>
      </c>
      <c r="F254" s="22">
        <v>4500</v>
      </c>
      <c r="G254" s="22">
        <v>5.8</v>
      </c>
      <c r="H254" s="22" t="s">
        <v>13</v>
      </c>
      <c r="I254" s="22" t="s">
        <v>14</v>
      </c>
      <c r="J254" s="22">
        <v>3.9</v>
      </c>
    </row>
    <row r="255" spans="1:10" x14ac:dyDescent="0.25">
      <c r="A255" s="22" t="s">
        <v>19</v>
      </c>
      <c r="B255" s="22" t="s">
        <v>316</v>
      </c>
      <c r="C255" s="22">
        <v>460</v>
      </c>
      <c r="D255" s="22">
        <v>128</v>
      </c>
      <c r="E255" s="22">
        <v>12</v>
      </c>
      <c r="F255" s="22">
        <v>4500</v>
      </c>
      <c r="G255" s="22">
        <v>6.4</v>
      </c>
      <c r="H255" s="22" t="s">
        <v>13</v>
      </c>
      <c r="I255" s="22" t="s">
        <v>14</v>
      </c>
      <c r="J255" s="22">
        <v>4.3</v>
      </c>
    </row>
    <row r="256" spans="1:10" x14ac:dyDescent="0.25">
      <c r="A256" s="22" t="s">
        <v>91</v>
      </c>
      <c r="B256" s="22" t="s">
        <v>317</v>
      </c>
      <c r="C256" s="22">
        <v>462</v>
      </c>
      <c r="D256" s="22">
        <v>64</v>
      </c>
      <c r="E256" s="22">
        <v>64</v>
      </c>
      <c r="F256" s="22">
        <v>4500</v>
      </c>
      <c r="G256" s="22">
        <v>5.5</v>
      </c>
      <c r="H256" s="22" t="s">
        <v>13</v>
      </c>
      <c r="I256" s="22" t="s">
        <v>14</v>
      </c>
      <c r="J256" s="22">
        <v>4.0999999999999996</v>
      </c>
    </row>
    <row r="257" spans="1:10" x14ac:dyDescent="0.25">
      <c r="A257" s="22" t="s">
        <v>47</v>
      </c>
      <c r="B257" s="22" t="s">
        <v>318</v>
      </c>
      <c r="C257" s="22">
        <v>463</v>
      </c>
      <c r="D257" s="22">
        <v>512</v>
      </c>
      <c r="E257" s="22">
        <v>48</v>
      </c>
      <c r="F257" s="22">
        <v>4500</v>
      </c>
      <c r="G257" s="22">
        <v>6</v>
      </c>
      <c r="H257" s="22" t="s">
        <v>21</v>
      </c>
      <c r="I257" s="22" t="s">
        <v>14</v>
      </c>
      <c r="J257" s="22">
        <v>4.5</v>
      </c>
    </row>
    <row r="258" spans="1:10" x14ac:dyDescent="0.25">
      <c r="A258" s="22" t="s">
        <v>52</v>
      </c>
      <c r="B258" s="22" t="s">
        <v>319</v>
      </c>
      <c r="C258" s="22">
        <v>464</v>
      </c>
      <c r="D258" s="22">
        <v>1024</v>
      </c>
      <c r="E258" s="22">
        <v>200</v>
      </c>
      <c r="F258" s="22">
        <v>6000</v>
      </c>
      <c r="G258" s="22">
        <v>5.7</v>
      </c>
      <c r="H258" s="22" t="s">
        <v>21</v>
      </c>
      <c r="I258" s="22" t="s">
        <v>14</v>
      </c>
      <c r="J258" s="22">
        <v>4.9000000000000004</v>
      </c>
    </row>
    <row r="259" spans="1:10" x14ac:dyDescent="0.25">
      <c r="A259" s="22" t="s">
        <v>24</v>
      </c>
      <c r="B259" s="22" t="s">
        <v>320</v>
      </c>
      <c r="C259" s="22">
        <v>464</v>
      </c>
      <c r="D259" s="22">
        <v>512</v>
      </c>
      <c r="E259" s="22">
        <v>12</v>
      </c>
      <c r="F259" s="22">
        <v>6000</v>
      </c>
      <c r="G259" s="22">
        <v>6.6</v>
      </c>
      <c r="H259" s="22" t="s">
        <v>21</v>
      </c>
      <c r="I259" s="22" t="s">
        <v>14</v>
      </c>
      <c r="J259" s="22">
        <v>4.5</v>
      </c>
    </row>
    <row r="260" spans="1:10" x14ac:dyDescent="0.25">
      <c r="A260" s="22" t="s">
        <v>24</v>
      </c>
      <c r="B260" s="22" t="s">
        <v>321</v>
      </c>
      <c r="C260" s="22">
        <v>465</v>
      </c>
      <c r="D260" s="22">
        <v>128</v>
      </c>
      <c r="E260" s="22">
        <v>50</v>
      </c>
      <c r="F260" s="22">
        <v>5000</v>
      </c>
      <c r="G260" s="22">
        <v>6.5</v>
      </c>
      <c r="H260" s="22" t="s">
        <v>21</v>
      </c>
      <c r="I260" s="22" t="s">
        <v>14</v>
      </c>
      <c r="J260" s="22">
        <v>3.9</v>
      </c>
    </row>
    <row r="261" spans="1:10" x14ac:dyDescent="0.25">
      <c r="A261" s="22" t="s">
        <v>33</v>
      </c>
      <c r="B261" s="22" t="s">
        <v>322</v>
      </c>
      <c r="C261" s="22">
        <v>467</v>
      </c>
      <c r="D261" s="22">
        <v>1024</v>
      </c>
      <c r="E261" s="22">
        <v>48</v>
      </c>
      <c r="F261" s="22">
        <v>4500</v>
      </c>
      <c r="G261" s="22">
        <v>5.7</v>
      </c>
      <c r="H261" s="22" t="s">
        <v>13</v>
      </c>
      <c r="I261" s="22" t="s">
        <v>14</v>
      </c>
      <c r="J261" s="22">
        <v>3.8</v>
      </c>
    </row>
    <row r="262" spans="1:10" x14ac:dyDescent="0.25">
      <c r="A262" s="22" t="s">
        <v>33</v>
      </c>
      <c r="B262" s="22" t="s">
        <v>323</v>
      </c>
      <c r="C262" s="22">
        <v>467</v>
      </c>
      <c r="D262" s="22">
        <v>512</v>
      </c>
      <c r="E262" s="22">
        <v>48</v>
      </c>
      <c r="F262" s="22">
        <v>4000</v>
      </c>
      <c r="G262" s="22">
        <v>6.5</v>
      </c>
      <c r="H262" s="22" t="s">
        <v>13</v>
      </c>
      <c r="I262" s="22" t="s">
        <v>14</v>
      </c>
      <c r="J262" s="22">
        <v>4.4000000000000004</v>
      </c>
    </row>
    <row r="263" spans="1:10" x14ac:dyDescent="0.25">
      <c r="A263" s="22" t="s">
        <v>52</v>
      </c>
      <c r="B263" s="22" t="s">
        <v>324</v>
      </c>
      <c r="C263" s="22">
        <v>469</v>
      </c>
      <c r="D263" s="22">
        <v>512</v>
      </c>
      <c r="E263" s="22">
        <v>50</v>
      </c>
      <c r="F263" s="22">
        <v>6000</v>
      </c>
      <c r="G263" s="22">
        <v>6.6</v>
      </c>
      <c r="H263" s="22" t="s">
        <v>13</v>
      </c>
      <c r="I263" s="22" t="s">
        <v>14</v>
      </c>
      <c r="J263" s="22">
        <v>5</v>
      </c>
    </row>
    <row r="264" spans="1:10" x14ac:dyDescent="0.25">
      <c r="A264" s="22" t="s">
        <v>11</v>
      </c>
      <c r="B264" s="22" t="s">
        <v>325</v>
      </c>
      <c r="C264" s="22">
        <v>471</v>
      </c>
      <c r="D264" s="22">
        <v>256</v>
      </c>
      <c r="E264" s="22">
        <v>200</v>
      </c>
      <c r="F264" s="22">
        <v>5000</v>
      </c>
      <c r="G264" s="22">
        <v>7.1</v>
      </c>
      <c r="H264" s="22" t="s">
        <v>21</v>
      </c>
      <c r="I264" s="22" t="s">
        <v>14</v>
      </c>
      <c r="J264" s="22">
        <v>3.7</v>
      </c>
    </row>
    <row r="265" spans="1:10" x14ac:dyDescent="0.25">
      <c r="A265" s="22" t="s">
        <v>19</v>
      </c>
      <c r="B265" s="22" t="s">
        <v>326</v>
      </c>
      <c r="C265" s="22">
        <v>471</v>
      </c>
      <c r="D265" s="22">
        <v>1024</v>
      </c>
      <c r="E265" s="22">
        <v>50</v>
      </c>
      <c r="F265" s="22">
        <v>5500</v>
      </c>
      <c r="G265" s="22">
        <v>7.1</v>
      </c>
      <c r="H265" s="22" t="s">
        <v>21</v>
      </c>
      <c r="I265" s="22" t="s">
        <v>14</v>
      </c>
      <c r="J265" s="22">
        <v>3.6</v>
      </c>
    </row>
    <row r="266" spans="1:10" x14ac:dyDescent="0.25">
      <c r="A266" s="22" t="s">
        <v>33</v>
      </c>
      <c r="B266" s="22" t="s">
        <v>327</v>
      </c>
      <c r="C266" s="22">
        <v>473</v>
      </c>
      <c r="D266" s="22">
        <v>128</v>
      </c>
      <c r="E266" s="22">
        <v>108</v>
      </c>
      <c r="F266" s="22">
        <v>5000</v>
      </c>
      <c r="G266" s="22">
        <v>6</v>
      </c>
      <c r="H266" s="22" t="s">
        <v>21</v>
      </c>
      <c r="I266" s="22" t="s">
        <v>14</v>
      </c>
      <c r="J266" s="22">
        <v>4.3</v>
      </c>
    </row>
    <row r="267" spans="1:10" x14ac:dyDescent="0.25">
      <c r="A267" s="22" t="s">
        <v>24</v>
      </c>
      <c r="B267" s="22" t="s">
        <v>328</v>
      </c>
      <c r="C267" s="22">
        <v>473</v>
      </c>
      <c r="D267" s="22">
        <v>1024</v>
      </c>
      <c r="E267" s="22">
        <v>108</v>
      </c>
      <c r="F267" s="22">
        <v>5000</v>
      </c>
      <c r="G267" s="22">
        <v>5.5</v>
      </c>
      <c r="H267" s="22" t="s">
        <v>13</v>
      </c>
      <c r="I267" s="22" t="s">
        <v>14</v>
      </c>
      <c r="J267" s="22">
        <v>3.9</v>
      </c>
    </row>
    <row r="268" spans="1:10" x14ac:dyDescent="0.25">
      <c r="A268" s="22" t="s">
        <v>52</v>
      </c>
      <c r="B268" s="22" t="s">
        <v>329</v>
      </c>
      <c r="C268" s="22">
        <v>474</v>
      </c>
      <c r="D268" s="22">
        <v>256</v>
      </c>
      <c r="E268" s="22">
        <v>12</v>
      </c>
      <c r="F268" s="22">
        <v>5000</v>
      </c>
      <c r="G268" s="22">
        <v>7.2</v>
      </c>
      <c r="H268" s="22" t="s">
        <v>21</v>
      </c>
      <c r="I268" s="22" t="s">
        <v>14</v>
      </c>
      <c r="J268" s="22">
        <v>3.9</v>
      </c>
    </row>
    <row r="269" spans="1:10" x14ac:dyDescent="0.25">
      <c r="A269" s="22" t="s">
        <v>47</v>
      </c>
      <c r="B269" s="22" t="s">
        <v>330</v>
      </c>
      <c r="C269" s="22">
        <v>475</v>
      </c>
      <c r="D269" s="22">
        <v>64</v>
      </c>
      <c r="E269" s="22">
        <v>12</v>
      </c>
      <c r="F269" s="22">
        <v>4500</v>
      </c>
      <c r="G269" s="22">
        <v>5.8</v>
      </c>
      <c r="H269" s="22" t="s">
        <v>13</v>
      </c>
      <c r="I269" s="22" t="s">
        <v>14</v>
      </c>
      <c r="J269" s="22">
        <v>3.9</v>
      </c>
    </row>
    <row r="270" spans="1:10" x14ac:dyDescent="0.25">
      <c r="A270" s="22" t="s">
        <v>52</v>
      </c>
      <c r="B270" s="22" t="s">
        <v>331</v>
      </c>
      <c r="C270" s="22">
        <v>476</v>
      </c>
      <c r="D270" s="22">
        <v>1024</v>
      </c>
      <c r="E270" s="22">
        <v>48</v>
      </c>
      <c r="F270" s="22">
        <v>5500</v>
      </c>
      <c r="G270" s="22">
        <v>6.9</v>
      </c>
      <c r="H270" s="22" t="s">
        <v>13</v>
      </c>
      <c r="I270" s="22" t="s">
        <v>14</v>
      </c>
      <c r="J270" s="22">
        <v>4.5999999999999996</v>
      </c>
    </row>
    <row r="271" spans="1:10" x14ac:dyDescent="0.25">
      <c r="A271" s="22" t="s">
        <v>19</v>
      </c>
      <c r="B271" s="22" t="s">
        <v>332</v>
      </c>
      <c r="C271" s="22">
        <v>476</v>
      </c>
      <c r="D271" s="22">
        <v>512</v>
      </c>
      <c r="E271" s="22">
        <v>200</v>
      </c>
      <c r="F271" s="22">
        <v>4000</v>
      </c>
      <c r="G271" s="22">
        <v>7</v>
      </c>
      <c r="H271" s="22" t="s">
        <v>21</v>
      </c>
      <c r="I271" s="22" t="s">
        <v>14</v>
      </c>
      <c r="J271" s="22">
        <v>4.5</v>
      </c>
    </row>
    <row r="272" spans="1:10" x14ac:dyDescent="0.25">
      <c r="A272" s="22" t="s">
        <v>58</v>
      </c>
      <c r="B272" s="22" t="s">
        <v>333</v>
      </c>
      <c r="C272" s="22">
        <v>479</v>
      </c>
      <c r="D272" s="22">
        <v>128</v>
      </c>
      <c r="E272" s="22">
        <v>50</v>
      </c>
      <c r="F272" s="22">
        <v>4000</v>
      </c>
      <c r="G272" s="22">
        <v>6.8</v>
      </c>
      <c r="H272" s="22" t="s">
        <v>13</v>
      </c>
      <c r="I272" s="22" t="s">
        <v>60</v>
      </c>
      <c r="J272" s="22">
        <v>4.3</v>
      </c>
    </row>
    <row r="273" spans="1:10" x14ac:dyDescent="0.25">
      <c r="A273" s="22" t="s">
        <v>91</v>
      </c>
      <c r="B273" s="22" t="s">
        <v>334</v>
      </c>
      <c r="C273" s="22">
        <v>482</v>
      </c>
      <c r="D273" s="22">
        <v>128</v>
      </c>
      <c r="E273" s="22">
        <v>50</v>
      </c>
      <c r="F273" s="22">
        <v>4500</v>
      </c>
      <c r="G273" s="22">
        <v>6.6</v>
      </c>
      <c r="H273" s="22" t="s">
        <v>13</v>
      </c>
      <c r="I273" s="22" t="s">
        <v>14</v>
      </c>
      <c r="J273" s="22">
        <v>4</v>
      </c>
    </row>
    <row r="274" spans="1:10" x14ac:dyDescent="0.25">
      <c r="A274" s="22" t="s">
        <v>11</v>
      </c>
      <c r="B274" s="22" t="s">
        <v>335</v>
      </c>
      <c r="C274" s="22">
        <v>486</v>
      </c>
      <c r="D274" s="22">
        <v>512</v>
      </c>
      <c r="E274" s="22">
        <v>108</v>
      </c>
      <c r="F274" s="22">
        <v>5000</v>
      </c>
      <c r="G274" s="22">
        <v>6.3</v>
      </c>
      <c r="H274" s="22" t="s">
        <v>21</v>
      </c>
      <c r="I274" s="22" t="s">
        <v>14</v>
      </c>
      <c r="J274" s="22">
        <v>5</v>
      </c>
    </row>
    <row r="275" spans="1:10" x14ac:dyDescent="0.25">
      <c r="A275" s="22" t="s">
        <v>33</v>
      </c>
      <c r="B275" s="22" t="s">
        <v>336</v>
      </c>
      <c r="C275" s="22">
        <v>488</v>
      </c>
      <c r="D275" s="22">
        <v>512</v>
      </c>
      <c r="E275" s="22">
        <v>48</v>
      </c>
      <c r="F275" s="22">
        <v>5500</v>
      </c>
      <c r="G275" s="22">
        <v>5.8</v>
      </c>
      <c r="H275" s="22" t="s">
        <v>13</v>
      </c>
      <c r="I275" s="22" t="s">
        <v>14</v>
      </c>
      <c r="J275" s="22">
        <v>4.9000000000000004</v>
      </c>
    </row>
    <row r="276" spans="1:10" x14ac:dyDescent="0.25">
      <c r="A276" s="22" t="s">
        <v>52</v>
      </c>
      <c r="B276" s="22" t="s">
        <v>337</v>
      </c>
      <c r="C276" s="22">
        <v>491</v>
      </c>
      <c r="D276" s="22">
        <v>128</v>
      </c>
      <c r="E276" s="22">
        <v>64</v>
      </c>
      <c r="F276" s="22">
        <v>5500</v>
      </c>
      <c r="G276" s="22">
        <v>6</v>
      </c>
      <c r="H276" s="22" t="s">
        <v>21</v>
      </c>
      <c r="I276" s="22" t="s">
        <v>14</v>
      </c>
      <c r="J276" s="22">
        <v>3.8</v>
      </c>
    </row>
    <row r="277" spans="1:10" x14ac:dyDescent="0.25">
      <c r="A277" s="22" t="s">
        <v>47</v>
      </c>
      <c r="B277" s="22" t="s">
        <v>338</v>
      </c>
      <c r="C277" s="22">
        <v>491</v>
      </c>
      <c r="D277" s="22">
        <v>256</v>
      </c>
      <c r="E277" s="22">
        <v>48</v>
      </c>
      <c r="F277" s="22">
        <v>4000</v>
      </c>
      <c r="G277" s="22">
        <v>7.2</v>
      </c>
      <c r="H277" s="22" t="s">
        <v>13</v>
      </c>
      <c r="I277" s="22" t="s">
        <v>14</v>
      </c>
      <c r="J277" s="22">
        <v>3.6</v>
      </c>
    </row>
    <row r="278" spans="1:10" x14ac:dyDescent="0.25">
      <c r="A278" s="22" t="s">
        <v>58</v>
      </c>
      <c r="B278" s="22" t="s">
        <v>339</v>
      </c>
      <c r="C278" s="22">
        <v>492</v>
      </c>
      <c r="D278" s="22">
        <v>64</v>
      </c>
      <c r="E278" s="22">
        <v>12</v>
      </c>
      <c r="F278" s="22">
        <v>4500</v>
      </c>
      <c r="G278" s="22">
        <v>6.6</v>
      </c>
      <c r="H278" s="22" t="s">
        <v>13</v>
      </c>
      <c r="I278" s="22" t="s">
        <v>60</v>
      </c>
      <c r="J278" s="22">
        <v>4.0999999999999996</v>
      </c>
    </row>
    <row r="279" spans="1:10" x14ac:dyDescent="0.25">
      <c r="A279" s="22" t="s">
        <v>16</v>
      </c>
      <c r="B279" s="22" t="s">
        <v>340</v>
      </c>
      <c r="C279" s="22">
        <v>492</v>
      </c>
      <c r="D279" s="22">
        <v>256</v>
      </c>
      <c r="E279" s="22">
        <v>200</v>
      </c>
      <c r="F279" s="22">
        <v>4000</v>
      </c>
      <c r="G279" s="22">
        <v>6.3</v>
      </c>
      <c r="H279" s="22" t="s">
        <v>21</v>
      </c>
      <c r="I279" s="22" t="s">
        <v>14</v>
      </c>
      <c r="J279" s="22">
        <v>4</v>
      </c>
    </row>
    <row r="280" spans="1:10" x14ac:dyDescent="0.25">
      <c r="A280" s="22" t="s">
        <v>33</v>
      </c>
      <c r="B280" s="22" t="s">
        <v>341</v>
      </c>
      <c r="C280" s="22">
        <v>497</v>
      </c>
      <c r="D280" s="22">
        <v>128</v>
      </c>
      <c r="E280" s="22">
        <v>12</v>
      </c>
      <c r="F280" s="22">
        <v>4000</v>
      </c>
      <c r="G280" s="22">
        <v>6.5</v>
      </c>
      <c r="H280" s="22" t="s">
        <v>13</v>
      </c>
      <c r="I280" s="22" t="s">
        <v>14</v>
      </c>
      <c r="J280" s="22">
        <v>4.3</v>
      </c>
    </row>
    <row r="281" spans="1:10" x14ac:dyDescent="0.25">
      <c r="A281" s="22" t="s">
        <v>58</v>
      </c>
      <c r="B281" s="22" t="s">
        <v>342</v>
      </c>
      <c r="C281" s="22">
        <v>497</v>
      </c>
      <c r="D281" s="22">
        <v>128</v>
      </c>
      <c r="E281" s="22">
        <v>50</v>
      </c>
      <c r="F281" s="22">
        <v>4500</v>
      </c>
      <c r="G281" s="22">
        <v>5.9</v>
      </c>
      <c r="H281" s="22" t="s">
        <v>21</v>
      </c>
      <c r="I281" s="22" t="s">
        <v>60</v>
      </c>
      <c r="J281" s="22">
        <v>3.8</v>
      </c>
    </row>
    <row r="282" spans="1:10" x14ac:dyDescent="0.25">
      <c r="A282" s="22" t="s">
        <v>33</v>
      </c>
      <c r="B282" s="22" t="s">
        <v>343</v>
      </c>
      <c r="C282" s="22">
        <v>498</v>
      </c>
      <c r="D282" s="22">
        <v>64</v>
      </c>
      <c r="E282" s="22">
        <v>50</v>
      </c>
      <c r="F282" s="22">
        <v>6000</v>
      </c>
      <c r="G282" s="22">
        <v>6.5</v>
      </c>
      <c r="H282" s="22" t="s">
        <v>21</v>
      </c>
      <c r="I282" s="22" t="s">
        <v>14</v>
      </c>
      <c r="J282" s="22">
        <v>4.8</v>
      </c>
    </row>
    <row r="283" spans="1:10" x14ac:dyDescent="0.25">
      <c r="A283" s="22" t="s">
        <v>16</v>
      </c>
      <c r="B283" s="22" t="s">
        <v>344</v>
      </c>
      <c r="C283" s="22">
        <v>501</v>
      </c>
      <c r="D283" s="22">
        <v>256</v>
      </c>
      <c r="E283" s="22">
        <v>108</v>
      </c>
      <c r="F283" s="22">
        <v>4500</v>
      </c>
      <c r="G283" s="22">
        <v>5.7</v>
      </c>
      <c r="H283" s="22" t="s">
        <v>21</v>
      </c>
      <c r="I283" s="22" t="s">
        <v>14</v>
      </c>
      <c r="J283" s="22">
        <v>3.8</v>
      </c>
    </row>
    <row r="284" spans="1:10" x14ac:dyDescent="0.25">
      <c r="A284" s="22" t="s">
        <v>52</v>
      </c>
      <c r="B284" s="22" t="s">
        <v>345</v>
      </c>
      <c r="C284" s="22">
        <v>501</v>
      </c>
      <c r="D284" s="22">
        <v>128</v>
      </c>
      <c r="E284" s="22">
        <v>48</v>
      </c>
      <c r="F284" s="22">
        <v>5000</v>
      </c>
      <c r="G284" s="22">
        <v>6.8</v>
      </c>
      <c r="H284" s="22" t="s">
        <v>13</v>
      </c>
      <c r="I284" s="22" t="s">
        <v>14</v>
      </c>
      <c r="J284" s="22">
        <v>3.7</v>
      </c>
    </row>
    <row r="285" spans="1:10" x14ac:dyDescent="0.25">
      <c r="A285" s="22" t="s">
        <v>11</v>
      </c>
      <c r="B285" s="22" t="s">
        <v>346</v>
      </c>
      <c r="C285" s="22">
        <v>502</v>
      </c>
      <c r="D285" s="22">
        <v>512</v>
      </c>
      <c r="E285" s="22">
        <v>108</v>
      </c>
      <c r="F285" s="22">
        <v>5500</v>
      </c>
      <c r="G285" s="22">
        <v>6.4</v>
      </c>
      <c r="H285" s="22" t="s">
        <v>21</v>
      </c>
      <c r="I285" s="22" t="s">
        <v>14</v>
      </c>
      <c r="J285" s="22">
        <v>3.8</v>
      </c>
    </row>
    <row r="286" spans="1:10" x14ac:dyDescent="0.25">
      <c r="A286" s="22" t="s">
        <v>11</v>
      </c>
      <c r="B286" s="22" t="s">
        <v>347</v>
      </c>
      <c r="C286" s="22">
        <v>502</v>
      </c>
      <c r="D286" s="22">
        <v>64</v>
      </c>
      <c r="E286" s="22">
        <v>108</v>
      </c>
      <c r="F286" s="22">
        <v>4500</v>
      </c>
      <c r="G286" s="22">
        <v>6.2</v>
      </c>
      <c r="H286" s="22" t="s">
        <v>13</v>
      </c>
      <c r="I286" s="22" t="s">
        <v>14</v>
      </c>
      <c r="J286" s="22">
        <v>5</v>
      </c>
    </row>
    <row r="287" spans="1:10" x14ac:dyDescent="0.25">
      <c r="A287" s="22" t="s">
        <v>33</v>
      </c>
      <c r="B287" s="22" t="s">
        <v>348</v>
      </c>
      <c r="C287" s="22">
        <v>503</v>
      </c>
      <c r="D287" s="22">
        <v>256</v>
      </c>
      <c r="E287" s="22">
        <v>48</v>
      </c>
      <c r="F287" s="22">
        <v>5000</v>
      </c>
      <c r="G287" s="22">
        <v>6.5</v>
      </c>
      <c r="H287" s="22" t="s">
        <v>13</v>
      </c>
      <c r="I287" s="22" t="s">
        <v>14</v>
      </c>
      <c r="J287" s="22">
        <v>4.0999999999999996</v>
      </c>
    </row>
    <row r="288" spans="1:10" x14ac:dyDescent="0.25">
      <c r="A288" s="22" t="s">
        <v>58</v>
      </c>
      <c r="B288" s="22" t="s">
        <v>349</v>
      </c>
      <c r="C288" s="22">
        <v>506</v>
      </c>
      <c r="D288" s="22">
        <v>256</v>
      </c>
      <c r="E288" s="22">
        <v>200</v>
      </c>
      <c r="F288" s="22">
        <v>4500</v>
      </c>
      <c r="G288" s="22">
        <v>6.6</v>
      </c>
      <c r="H288" s="22" t="s">
        <v>13</v>
      </c>
      <c r="I288" s="22" t="s">
        <v>60</v>
      </c>
      <c r="J288" s="22">
        <v>4.0999999999999996</v>
      </c>
    </row>
    <row r="289" spans="1:10" x14ac:dyDescent="0.25">
      <c r="A289" s="22" t="s">
        <v>47</v>
      </c>
      <c r="B289" s="22" t="s">
        <v>350</v>
      </c>
      <c r="C289" s="22">
        <v>508</v>
      </c>
      <c r="D289" s="22">
        <v>1024</v>
      </c>
      <c r="E289" s="22">
        <v>12</v>
      </c>
      <c r="F289" s="22">
        <v>4500</v>
      </c>
      <c r="G289" s="22">
        <v>6.6</v>
      </c>
      <c r="H289" s="22" t="s">
        <v>21</v>
      </c>
      <c r="I289" s="22" t="s">
        <v>14</v>
      </c>
      <c r="J289" s="22">
        <v>4.5</v>
      </c>
    </row>
    <row r="290" spans="1:10" x14ac:dyDescent="0.25">
      <c r="A290" s="22" t="s">
        <v>24</v>
      </c>
      <c r="B290" s="22" t="s">
        <v>351</v>
      </c>
      <c r="C290" s="22">
        <v>508</v>
      </c>
      <c r="D290" s="22">
        <v>64</v>
      </c>
      <c r="E290" s="22">
        <v>108</v>
      </c>
      <c r="F290" s="22">
        <v>6000</v>
      </c>
      <c r="G290" s="22">
        <v>5.9</v>
      </c>
      <c r="H290" s="22" t="s">
        <v>13</v>
      </c>
      <c r="I290" s="22" t="s">
        <v>14</v>
      </c>
      <c r="J290" s="22">
        <v>4.4000000000000004</v>
      </c>
    </row>
    <row r="291" spans="1:10" x14ac:dyDescent="0.25">
      <c r="A291" s="22" t="s">
        <v>33</v>
      </c>
      <c r="B291" s="22" t="s">
        <v>352</v>
      </c>
      <c r="C291" s="22">
        <v>510</v>
      </c>
      <c r="D291" s="22">
        <v>1024</v>
      </c>
      <c r="E291" s="22">
        <v>200</v>
      </c>
      <c r="F291" s="22">
        <v>4500</v>
      </c>
      <c r="G291" s="22">
        <v>6</v>
      </c>
      <c r="H291" s="22" t="s">
        <v>13</v>
      </c>
      <c r="I291" s="22" t="s">
        <v>14</v>
      </c>
      <c r="J291" s="22">
        <v>4.5999999999999996</v>
      </c>
    </row>
    <row r="292" spans="1:10" x14ac:dyDescent="0.25">
      <c r="A292" s="22" t="s">
        <v>24</v>
      </c>
      <c r="B292" s="22" t="s">
        <v>353</v>
      </c>
      <c r="C292" s="22">
        <v>513</v>
      </c>
      <c r="D292" s="22">
        <v>256</v>
      </c>
      <c r="E292" s="22">
        <v>64</v>
      </c>
      <c r="F292" s="22">
        <v>4500</v>
      </c>
      <c r="G292" s="22">
        <v>6.9</v>
      </c>
      <c r="H292" s="22" t="s">
        <v>13</v>
      </c>
      <c r="I292" s="22" t="s">
        <v>14</v>
      </c>
      <c r="J292" s="22">
        <v>4.8</v>
      </c>
    </row>
    <row r="293" spans="1:10" x14ac:dyDescent="0.25">
      <c r="A293" s="22" t="s">
        <v>91</v>
      </c>
      <c r="B293" s="22" t="s">
        <v>354</v>
      </c>
      <c r="C293" s="22">
        <v>514</v>
      </c>
      <c r="D293" s="22">
        <v>128</v>
      </c>
      <c r="E293" s="22">
        <v>64</v>
      </c>
      <c r="F293" s="22">
        <v>6000</v>
      </c>
      <c r="G293" s="22">
        <v>7</v>
      </c>
      <c r="H293" s="22" t="s">
        <v>21</v>
      </c>
      <c r="I293" s="22" t="s">
        <v>14</v>
      </c>
      <c r="J293" s="22">
        <v>3.5</v>
      </c>
    </row>
    <row r="294" spans="1:10" x14ac:dyDescent="0.25">
      <c r="A294" s="22" t="s">
        <v>24</v>
      </c>
      <c r="B294" s="22" t="s">
        <v>355</v>
      </c>
      <c r="C294" s="22">
        <v>515</v>
      </c>
      <c r="D294" s="22">
        <v>256</v>
      </c>
      <c r="E294" s="22">
        <v>64</v>
      </c>
      <c r="F294" s="22">
        <v>6000</v>
      </c>
      <c r="G294" s="22">
        <v>5.9</v>
      </c>
      <c r="H294" s="22" t="s">
        <v>21</v>
      </c>
      <c r="I294" s="22" t="s">
        <v>14</v>
      </c>
      <c r="J294" s="22">
        <v>3.6</v>
      </c>
    </row>
    <row r="295" spans="1:10" x14ac:dyDescent="0.25">
      <c r="A295" s="22" t="s">
        <v>52</v>
      </c>
      <c r="B295" s="22" t="s">
        <v>356</v>
      </c>
      <c r="C295" s="22">
        <v>515</v>
      </c>
      <c r="D295" s="22">
        <v>1024</v>
      </c>
      <c r="E295" s="22">
        <v>12</v>
      </c>
      <c r="F295" s="22">
        <v>4000</v>
      </c>
      <c r="G295" s="22">
        <v>6</v>
      </c>
      <c r="H295" s="22" t="s">
        <v>13</v>
      </c>
      <c r="I295" s="22" t="s">
        <v>14</v>
      </c>
      <c r="J295" s="22">
        <v>3.6</v>
      </c>
    </row>
    <row r="296" spans="1:10" x14ac:dyDescent="0.25">
      <c r="A296" s="22" t="s">
        <v>52</v>
      </c>
      <c r="B296" s="22" t="s">
        <v>357</v>
      </c>
      <c r="C296" s="22">
        <v>520</v>
      </c>
      <c r="D296" s="22">
        <v>512</v>
      </c>
      <c r="E296" s="22">
        <v>108</v>
      </c>
      <c r="F296" s="22">
        <v>4500</v>
      </c>
      <c r="G296" s="22">
        <v>6.7</v>
      </c>
      <c r="H296" s="22" t="s">
        <v>21</v>
      </c>
      <c r="I296" s="22" t="s">
        <v>14</v>
      </c>
      <c r="J296" s="22">
        <v>3.9</v>
      </c>
    </row>
    <row r="297" spans="1:10" x14ac:dyDescent="0.25">
      <c r="A297" s="22" t="s">
        <v>19</v>
      </c>
      <c r="B297" s="22" t="s">
        <v>358</v>
      </c>
      <c r="C297" s="22">
        <v>521</v>
      </c>
      <c r="D297" s="22">
        <v>128</v>
      </c>
      <c r="E297" s="22">
        <v>200</v>
      </c>
      <c r="F297" s="22">
        <v>5500</v>
      </c>
      <c r="G297" s="22">
        <v>5.5</v>
      </c>
      <c r="H297" s="22" t="s">
        <v>21</v>
      </c>
      <c r="I297" s="22" t="s">
        <v>14</v>
      </c>
      <c r="J297" s="22">
        <v>4.7</v>
      </c>
    </row>
    <row r="298" spans="1:10" x14ac:dyDescent="0.25">
      <c r="A298" s="22" t="s">
        <v>16</v>
      </c>
      <c r="B298" s="22" t="s">
        <v>359</v>
      </c>
      <c r="C298" s="22">
        <v>521</v>
      </c>
      <c r="D298" s="22">
        <v>256</v>
      </c>
      <c r="E298" s="22">
        <v>48</v>
      </c>
      <c r="F298" s="22">
        <v>4000</v>
      </c>
      <c r="G298" s="22">
        <v>6.1</v>
      </c>
      <c r="H298" s="22" t="s">
        <v>13</v>
      </c>
      <c r="I298" s="22" t="s">
        <v>14</v>
      </c>
      <c r="J298" s="22">
        <v>3.7</v>
      </c>
    </row>
    <row r="299" spans="1:10" x14ac:dyDescent="0.25">
      <c r="A299" s="22" t="s">
        <v>47</v>
      </c>
      <c r="B299" s="22" t="s">
        <v>360</v>
      </c>
      <c r="C299" s="22">
        <v>523</v>
      </c>
      <c r="D299" s="22">
        <v>512</v>
      </c>
      <c r="E299" s="22">
        <v>50</v>
      </c>
      <c r="F299" s="22">
        <v>6000</v>
      </c>
      <c r="G299" s="22">
        <v>6.9</v>
      </c>
      <c r="H299" s="22" t="s">
        <v>21</v>
      </c>
      <c r="I299" s="22" t="s">
        <v>14</v>
      </c>
      <c r="J299" s="22">
        <v>4.4000000000000004</v>
      </c>
    </row>
    <row r="300" spans="1:10" x14ac:dyDescent="0.25">
      <c r="A300" s="22" t="s">
        <v>19</v>
      </c>
      <c r="B300" s="22" t="s">
        <v>361</v>
      </c>
      <c r="C300" s="22">
        <v>525</v>
      </c>
      <c r="D300" s="22">
        <v>64</v>
      </c>
      <c r="E300" s="22">
        <v>108</v>
      </c>
      <c r="F300" s="22">
        <v>5500</v>
      </c>
      <c r="G300" s="22">
        <v>6.6</v>
      </c>
      <c r="H300" s="22" t="s">
        <v>13</v>
      </c>
      <c r="I300" s="22" t="s">
        <v>14</v>
      </c>
      <c r="J300" s="22">
        <v>3.7</v>
      </c>
    </row>
    <row r="301" spans="1:10" x14ac:dyDescent="0.25">
      <c r="A301" s="22" t="s">
        <v>58</v>
      </c>
      <c r="B301" s="22" t="s">
        <v>362</v>
      </c>
      <c r="C301" s="22">
        <v>528</v>
      </c>
      <c r="D301" s="22">
        <v>512</v>
      </c>
      <c r="E301" s="22">
        <v>50</v>
      </c>
      <c r="F301" s="22">
        <v>5500</v>
      </c>
      <c r="G301" s="22">
        <v>7.2</v>
      </c>
      <c r="H301" s="22" t="s">
        <v>13</v>
      </c>
      <c r="I301" s="22" t="s">
        <v>60</v>
      </c>
      <c r="J301" s="22">
        <v>4.5999999999999996</v>
      </c>
    </row>
    <row r="302" spans="1:10" x14ac:dyDescent="0.25">
      <c r="A302" s="22" t="s">
        <v>52</v>
      </c>
      <c r="B302" s="22" t="s">
        <v>363</v>
      </c>
      <c r="C302" s="22">
        <v>528</v>
      </c>
      <c r="D302" s="22">
        <v>256</v>
      </c>
      <c r="E302" s="22">
        <v>64</v>
      </c>
      <c r="F302" s="22">
        <v>5000</v>
      </c>
      <c r="G302" s="22">
        <v>6.8</v>
      </c>
      <c r="H302" s="22" t="s">
        <v>21</v>
      </c>
      <c r="I302" s="22" t="s">
        <v>14</v>
      </c>
      <c r="J302" s="22">
        <v>3.9</v>
      </c>
    </row>
    <row r="303" spans="1:10" x14ac:dyDescent="0.25">
      <c r="A303" s="22" t="s">
        <v>24</v>
      </c>
      <c r="B303" s="22" t="s">
        <v>364</v>
      </c>
      <c r="C303" s="22">
        <v>529</v>
      </c>
      <c r="D303" s="22">
        <v>128</v>
      </c>
      <c r="E303" s="22">
        <v>50</v>
      </c>
      <c r="F303" s="22">
        <v>4500</v>
      </c>
      <c r="G303" s="22">
        <v>6</v>
      </c>
      <c r="H303" s="22" t="s">
        <v>13</v>
      </c>
      <c r="I303" s="22" t="s">
        <v>14</v>
      </c>
      <c r="J303" s="22">
        <v>3.6</v>
      </c>
    </row>
    <row r="304" spans="1:10" x14ac:dyDescent="0.25">
      <c r="A304" s="22" t="s">
        <v>52</v>
      </c>
      <c r="B304" s="22" t="s">
        <v>365</v>
      </c>
      <c r="C304" s="22">
        <v>531</v>
      </c>
      <c r="D304" s="22">
        <v>1024</v>
      </c>
      <c r="E304" s="22">
        <v>48</v>
      </c>
      <c r="F304" s="22">
        <v>4000</v>
      </c>
      <c r="G304" s="22">
        <v>5.5</v>
      </c>
      <c r="H304" s="22" t="s">
        <v>21</v>
      </c>
      <c r="I304" s="22" t="s">
        <v>14</v>
      </c>
      <c r="J304" s="22">
        <v>3.6</v>
      </c>
    </row>
    <row r="305" spans="1:10" x14ac:dyDescent="0.25">
      <c r="A305" s="22" t="s">
        <v>11</v>
      </c>
      <c r="B305" s="22" t="s">
        <v>366</v>
      </c>
      <c r="C305" s="22">
        <v>532</v>
      </c>
      <c r="D305" s="22">
        <v>128</v>
      </c>
      <c r="E305" s="22">
        <v>12</v>
      </c>
      <c r="F305" s="22">
        <v>4000</v>
      </c>
      <c r="G305" s="22">
        <v>6.3</v>
      </c>
      <c r="H305" s="22" t="s">
        <v>21</v>
      </c>
      <c r="I305" s="22" t="s">
        <v>14</v>
      </c>
      <c r="J305" s="22">
        <v>4.7</v>
      </c>
    </row>
    <row r="306" spans="1:10" x14ac:dyDescent="0.25">
      <c r="A306" s="22" t="s">
        <v>24</v>
      </c>
      <c r="B306" s="22" t="s">
        <v>367</v>
      </c>
      <c r="C306" s="22">
        <v>533</v>
      </c>
      <c r="D306" s="22">
        <v>512</v>
      </c>
      <c r="E306" s="22">
        <v>200</v>
      </c>
      <c r="F306" s="22">
        <v>5000</v>
      </c>
      <c r="G306" s="22">
        <v>6.5</v>
      </c>
      <c r="H306" s="22" t="s">
        <v>21</v>
      </c>
      <c r="I306" s="22" t="s">
        <v>14</v>
      </c>
      <c r="J306" s="22">
        <v>4.7</v>
      </c>
    </row>
    <row r="307" spans="1:10" x14ac:dyDescent="0.25">
      <c r="A307" s="22" t="s">
        <v>33</v>
      </c>
      <c r="B307" s="22" t="s">
        <v>368</v>
      </c>
      <c r="C307" s="22">
        <v>537</v>
      </c>
      <c r="D307" s="22">
        <v>256</v>
      </c>
      <c r="E307" s="22">
        <v>50</v>
      </c>
      <c r="F307" s="22">
        <v>4500</v>
      </c>
      <c r="G307" s="22">
        <v>6.7</v>
      </c>
      <c r="H307" s="22" t="s">
        <v>21</v>
      </c>
      <c r="I307" s="22" t="s">
        <v>14</v>
      </c>
      <c r="J307" s="22">
        <v>4.8</v>
      </c>
    </row>
    <row r="308" spans="1:10" x14ac:dyDescent="0.25">
      <c r="A308" s="22" t="s">
        <v>11</v>
      </c>
      <c r="B308" s="22" t="s">
        <v>369</v>
      </c>
      <c r="C308" s="22">
        <v>538</v>
      </c>
      <c r="D308" s="22">
        <v>512</v>
      </c>
      <c r="E308" s="22">
        <v>48</v>
      </c>
      <c r="F308" s="22">
        <v>6000</v>
      </c>
      <c r="G308" s="22">
        <v>6.6</v>
      </c>
      <c r="H308" s="22" t="s">
        <v>13</v>
      </c>
      <c r="I308" s="22" t="s">
        <v>14</v>
      </c>
      <c r="J308" s="22">
        <v>3.5</v>
      </c>
    </row>
    <row r="309" spans="1:10" x14ac:dyDescent="0.25">
      <c r="A309" s="22" t="s">
        <v>52</v>
      </c>
      <c r="B309" s="22" t="s">
        <v>370</v>
      </c>
      <c r="C309" s="22">
        <v>538</v>
      </c>
      <c r="D309" s="22">
        <v>64</v>
      </c>
      <c r="E309" s="22">
        <v>108</v>
      </c>
      <c r="F309" s="22">
        <v>4000</v>
      </c>
      <c r="G309" s="22">
        <v>6.9</v>
      </c>
      <c r="H309" s="22" t="s">
        <v>21</v>
      </c>
      <c r="I309" s="22" t="s">
        <v>14</v>
      </c>
      <c r="J309" s="22">
        <v>4.4000000000000004</v>
      </c>
    </row>
    <row r="310" spans="1:10" x14ac:dyDescent="0.25">
      <c r="A310" s="22" t="s">
        <v>91</v>
      </c>
      <c r="B310" s="22" t="s">
        <v>371</v>
      </c>
      <c r="C310" s="22">
        <v>540</v>
      </c>
      <c r="D310" s="22">
        <v>128</v>
      </c>
      <c r="E310" s="22">
        <v>108</v>
      </c>
      <c r="F310" s="22">
        <v>5500</v>
      </c>
      <c r="G310" s="22">
        <v>5.7</v>
      </c>
      <c r="H310" s="22" t="s">
        <v>13</v>
      </c>
      <c r="I310" s="22" t="s">
        <v>14</v>
      </c>
      <c r="J310" s="22">
        <v>4</v>
      </c>
    </row>
    <row r="311" spans="1:10" x14ac:dyDescent="0.25">
      <c r="A311" s="22" t="s">
        <v>91</v>
      </c>
      <c r="B311" s="22" t="s">
        <v>372</v>
      </c>
      <c r="C311" s="22">
        <v>540</v>
      </c>
      <c r="D311" s="22">
        <v>512</v>
      </c>
      <c r="E311" s="22">
        <v>200</v>
      </c>
      <c r="F311" s="22">
        <v>5000</v>
      </c>
      <c r="G311" s="22">
        <v>5.6</v>
      </c>
      <c r="H311" s="22" t="s">
        <v>13</v>
      </c>
      <c r="I311" s="22" t="s">
        <v>14</v>
      </c>
      <c r="J311" s="22">
        <v>3.5</v>
      </c>
    </row>
    <row r="312" spans="1:10" x14ac:dyDescent="0.25">
      <c r="A312" s="22" t="s">
        <v>11</v>
      </c>
      <c r="B312" s="22" t="s">
        <v>373</v>
      </c>
      <c r="C312" s="22">
        <v>543</v>
      </c>
      <c r="D312" s="22">
        <v>128</v>
      </c>
      <c r="E312" s="22">
        <v>50</v>
      </c>
      <c r="F312" s="22">
        <v>4500</v>
      </c>
      <c r="G312" s="22">
        <v>6.4</v>
      </c>
      <c r="H312" s="22" t="s">
        <v>21</v>
      </c>
      <c r="I312" s="22" t="s">
        <v>14</v>
      </c>
      <c r="J312" s="22">
        <v>3.9</v>
      </c>
    </row>
    <row r="313" spans="1:10" x14ac:dyDescent="0.25">
      <c r="A313" s="22" t="s">
        <v>33</v>
      </c>
      <c r="B313" s="22" t="s">
        <v>374</v>
      </c>
      <c r="C313" s="22">
        <v>544</v>
      </c>
      <c r="D313" s="22">
        <v>1024</v>
      </c>
      <c r="E313" s="22">
        <v>200</v>
      </c>
      <c r="F313" s="22">
        <v>4000</v>
      </c>
      <c r="G313" s="22">
        <v>6.8</v>
      </c>
      <c r="H313" s="22" t="s">
        <v>21</v>
      </c>
      <c r="I313" s="22" t="s">
        <v>14</v>
      </c>
      <c r="J313" s="22">
        <v>4.0999999999999996</v>
      </c>
    </row>
    <row r="314" spans="1:10" x14ac:dyDescent="0.25">
      <c r="A314" s="22" t="s">
        <v>16</v>
      </c>
      <c r="B314" s="22" t="s">
        <v>375</v>
      </c>
      <c r="C314" s="22">
        <v>544</v>
      </c>
      <c r="D314" s="22">
        <v>1024</v>
      </c>
      <c r="E314" s="22">
        <v>64</v>
      </c>
      <c r="F314" s="22">
        <v>5000</v>
      </c>
      <c r="G314" s="22">
        <v>6.5</v>
      </c>
      <c r="H314" s="22" t="s">
        <v>21</v>
      </c>
      <c r="I314" s="22" t="s">
        <v>14</v>
      </c>
      <c r="J314" s="22">
        <v>3.8</v>
      </c>
    </row>
    <row r="315" spans="1:10" x14ac:dyDescent="0.25">
      <c r="A315" s="22" t="s">
        <v>58</v>
      </c>
      <c r="B315" s="22" t="s">
        <v>376</v>
      </c>
      <c r="C315" s="22">
        <v>545</v>
      </c>
      <c r="D315" s="22">
        <v>256</v>
      </c>
      <c r="E315" s="22">
        <v>64</v>
      </c>
      <c r="F315" s="22">
        <v>5000</v>
      </c>
      <c r="G315" s="22">
        <v>5.7</v>
      </c>
      <c r="H315" s="22" t="s">
        <v>21</v>
      </c>
      <c r="I315" s="22" t="s">
        <v>60</v>
      </c>
      <c r="J315" s="22">
        <v>3.8</v>
      </c>
    </row>
    <row r="316" spans="1:10" x14ac:dyDescent="0.25">
      <c r="A316" s="22" t="s">
        <v>16</v>
      </c>
      <c r="B316" s="22" t="s">
        <v>377</v>
      </c>
      <c r="C316" s="22">
        <v>545</v>
      </c>
      <c r="D316" s="22">
        <v>128</v>
      </c>
      <c r="E316" s="22">
        <v>200</v>
      </c>
      <c r="F316" s="22">
        <v>4000</v>
      </c>
      <c r="G316" s="22">
        <v>7</v>
      </c>
      <c r="H316" s="22" t="s">
        <v>13</v>
      </c>
      <c r="I316" s="22" t="s">
        <v>14</v>
      </c>
      <c r="J316" s="22">
        <v>3.7</v>
      </c>
    </row>
    <row r="317" spans="1:10" x14ac:dyDescent="0.25">
      <c r="A317" s="22" t="s">
        <v>33</v>
      </c>
      <c r="B317" s="22" t="s">
        <v>378</v>
      </c>
      <c r="C317" s="22">
        <v>546</v>
      </c>
      <c r="D317" s="22">
        <v>64</v>
      </c>
      <c r="E317" s="22">
        <v>50</v>
      </c>
      <c r="F317" s="22">
        <v>4000</v>
      </c>
      <c r="G317" s="22">
        <v>6.6</v>
      </c>
      <c r="H317" s="22" t="s">
        <v>13</v>
      </c>
      <c r="I317" s="22" t="s">
        <v>14</v>
      </c>
      <c r="J317" s="22">
        <v>4.7</v>
      </c>
    </row>
    <row r="318" spans="1:10" x14ac:dyDescent="0.25">
      <c r="A318" s="22" t="s">
        <v>47</v>
      </c>
      <c r="B318" s="22" t="s">
        <v>379</v>
      </c>
      <c r="C318" s="22">
        <v>547</v>
      </c>
      <c r="D318" s="22">
        <v>256</v>
      </c>
      <c r="E318" s="22">
        <v>200</v>
      </c>
      <c r="F318" s="22">
        <v>4000</v>
      </c>
      <c r="G318" s="22">
        <v>6.6</v>
      </c>
      <c r="H318" s="22" t="s">
        <v>21</v>
      </c>
      <c r="I318" s="22" t="s">
        <v>14</v>
      </c>
      <c r="J318" s="22">
        <v>4.4000000000000004</v>
      </c>
    </row>
    <row r="319" spans="1:10" x14ac:dyDescent="0.25">
      <c r="A319" s="22" t="s">
        <v>24</v>
      </c>
      <c r="B319" s="22" t="s">
        <v>380</v>
      </c>
      <c r="C319" s="22">
        <v>548</v>
      </c>
      <c r="D319" s="22">
        <v>512</v>
      </c>
      <c r="E319" s="22">
        <v>50</v>
      </c>
      <c r="F319" s="22">
        <v>4500</v>
      </c>
      <c r="G319" s="22">
        <v>7.2</v>
      </c>
      <c r="H319" s="22" t="s">
        <v>21</v>
      </c>
      <c r="I319" s="22" t="s">
        <v>14</v>
      </c>
      <c r="J319" s="22">
        <v>4.4000000000000004</v>
      </c>
    </row>
    <row r="320" spans="1:10" x14ac:dyDescent="0.25">
      <c r="A320" s="22" t="s">
        <v>24</v>
      </c>
      <c r="B320" s="22" t="s">
        <v>381</v>
      </c>
      <c r="C320" s="22">
        <v>551</v>
      </c>
      <c r="D320" s="22">
        <v>256</v>
      </c>
      <c r="E320" s="22">
        <v>50</v>
      </c>
      <c r="F320" s="22">
        <v>4500</v>
      </c>
      <c r="G320" s="22">
        <v>5.6</v>
      </c>
      <c r="H320" s="22" t="s">
        <v>21</v>
      </c>
      <c r="I320" s="22" t="s">
        <v>14</v>
      </c>
      <c r="J320" s="22">
        <v>4.2</v>
      </c>
    </row>
    <row r="321" spans="1:10" x14ac:dyDescent="0.25">
      <c r="A321" s="22" t="s">
        <v>24</v>
      </c>
      <c r="B321" s="22" t="s">
        <v>382</v>
      </c>
      <c r="C321" s="22">
        <v>554</v>
      </c>
      <c r="D321" s="22">
        <v>256</v>
      </c>
      <c r="E321" s="22">
        <v>64</v>
      </c>
      <c r="F321" s="22">
        <v>5500</v>
      </c>
      <c r="G321" s="22">
        <v>6.8</v>
      </c>
      <c r="H321" s="22" t="s">
        <v>13</v>
      </c>
      <c r="I321" s="22" t="s">
        <v>14</v>
      </c>
      <c r="J321" s="22">
        <v>3.7</v>
      </c>
    </row>
    <row r="322" spans="1:10" x14ac:dyDescent="0.25">
      <c r="A322" s="22" t="s">
        <v>19</v>
      </c>
      <c r="B322" s="22" t="s">
        <v>383</v>
      </c>
      <c r="C322" s="22">
        <v>560</v>
      </c>
      <c r="D322" s="22">
        <v>1024</v>
      </c>
      <c r="E322" s="22">
        <v>50</v>
      </c>
      <c r="F322" s="22">
        <v>6000</v>
      </c>
      <c r="G322" s="22">
        <v>6.9</v>
      </c>
      <c r="H322" s="22" t="s">
        <v>13</v>
      </c>
      <c r="I322" s="22" t="s">
        <v>14</v>
      </c>
      <c r="J322" s="22">
        <v>3.8</v>
      </c>
    </row>
    <row r="323" spans="1:10" x14ac:dyDescent="0.25">
      <c r="A323" s="22" t="s">
        <v>24</v>
      </c>
      <c r="B323" s="22" t="s">
        <v>384</v>
      </c>
      <c r="C323" s="22">
        <v>567</v>
      </c>
      <c r="D323" s="22">
        <v>1024</v>
      </c>
      <c r="E323" s="22">
        <v>200</v>
      </c>
      <c r="F323" s="22">
        <v>4500</v>
      </c>
      <c r="G323" s="22">
        <v>6.3</v>
      </c>
      <c r="H323" s="22" t="s">
        <v>21</v>
      </c>
      <c r="I323" s="22" t="s">
        <v>14</v>
      </c>
      <c r="J323" s="22">
        <v>3.7</v>
      </c>
    </row>
    <row r="324" spans="1:10" x14ac:dyDescent="0.25">
      <c r="A324" s="22" t="s">
        <v>16</v>
      </c>
      <c r="B324" s="22" t="s">
        <v>385</v>
      </c>
      <c r="C324" s="22">
        <v>567</v>
      </c>
      <c r="D324" s="22">
        <v>128</v>
      </c>
      <c r="E324" s="22">
        <v>108</v>
      </c>
      <c r="F324" s="22">
        <v>5000</v>
      </c>
      <c r="G324" s="22">
        <v>6.8</v>
      </c>
      <c r="H324" s="22" t="s">
        <v>21</v>
      </c>
      <c r="I324" s="22" t="s">
        <v>14</v>
      </c>
      <c r="J324" s="22">
        <v>5</v>
      </c>
    </row>
    <row r="325" spans="1:10" x14ac:dyDescent="0.25">
      <c r="A325" s="22" t="s">
        <v>91</v>
      </c>
      <c r="B325" s="22" t="s">
        <v>386</v>
      </c>
      <c r="C325" s="22">
        <v>568</v>
      </c>
      <c r="D325" s="22">
        <v>64</v>
      </c>
      <c r="E325" s="22">
        <v>12</v>
      </c>
      <c r="F325" s="22">
        <v>5500</v>
      </c>
      <c r="G325" s="22">
        <v>6.7</v>
      </c>
      <c r="H325" s="22" t="s">
        <v>13</v>
      </c>
      <c r="I325" s="22" t="s">
        <v>14</v>
      </c>
      <c r="J325" s="22">
        <v>4.5999999999999996</v>
      </c>
    </row>
    <row r="326" spans="1:10" x14ac:dyDescent="0.25">
      <c r="A326" s="22" t="s">
        <v>91</v>
      </c>
      <c r="B326" s="22" t="s">
        <v>387</v>
      </c>
      <c r="C326" s="22">
        <v>573</v>
      </c>
      <c r="D326" s="22">
        <v>1024</v>
      </c>
      <c r="E326" s="22">
        <v>108</v>
      </c>
      <c r="F326" s="22">
        <v>5500</v>
      </c>
      <c r="G326" s="22">
        <v>5.6</v>
      </c>
      <c r="H326" s="22" t="s">
        <v>21</v>
      </c>
      <c r="I326" s="22" t="s">
        <v>14</v>
      </c>
      <c r="J326" s="22">
        <v>5</v>
      </c>
    </row>
    <row r="327" spans="1:10" x14ac:dyDescent="0.25">
      <c r="A327" s="22" t="s">
        <v>19</v>
      </c>
      <c r="B327" s="22" t="s">
        <v>388</v>
      </c>
      <c r="C327" s="22">
        <v>577</v>
      </c>
      <c r="D327" s="22">
        <v>1024</v>
      </c>
      <c r="E327" s="22">
        <v>108</v>
      </c>
      <c r="F327" s="22">
        <v>5500</v>
      </c>
      <c r="G327" s="22">
        <v>6.3</v>
      </c>
      <c r="H327" s="22" t="s">
        <v>13</v>
      </c>
      <c r="I327" s="22" t="s">
        <v>14</v>
      </c>
      <c r="J327" s="22">
        <v>3.6</v>
      </c>
    </row>
    <row r="328" spans="1:10" x14ac:dyDescent="0.25">
      <c r="A328" s="22" t="s">
        <v>58</v>
      </c>
      <c r="B328" s="22" t="s">
        <v>389</v>
      </c>
      <c r="C328" s="22">
        <v>579</v>
      </c>
      <c r="D328" s="22">
        <v>512</v>
      </c>
      <c r="E328" s="22">
        <v>108</v>
      </c>
      <c r="F328" s="22">
        <v>4000</v>
      </c>
      <c r="G328" s="22">
        <v>6.1</v>
      </c>
      <c r="H328" s="22" t="s">
        <v>21</v>
      </c>
      <c r="I328" s="22" t="s">
        <v>60</v>
      </c>
      <c r="J328" s="22">
        <v>4.7</v>
      </c>
    </row>
    <row r="329" spans="1:10" x14ac:dyDescent="0.25">
      <c r="A329" s="22" t="s">
        <v>16</v>
      </c>
      <c r="B329" s="22" t="s">
        <v>390</v>
      </c>
      <c r="C329" s="22">
        <v>581</v>
      </c>
      <c r="D329" s="22">
        <v>512</v>
      </c>
      <c r="E329" s="22">
        <v>108</v>
      </c>
      <c r="F329" s="22">
        <v>4000</v>
      </c>
      <c r="G329" s="22">
        <v>6</v>
      </c>
      <c r="H329" s="22" t="s">
        <v>21</v>
      </c>
      <c r="I329" s="22" t="s">
        <v>14</v>
      </c>
      <c r="J329" s="22">
        <v>4.0999999999999996</v>
      </c>
    </row>
    <row r="330" spans="1:10" x14ac:dyDescent="0.25">
      <c r="A330" s="22" t="s">
        <v>58</v>
      </c>
      <c r="B330" s="22" t="s">
        <v>391</v>
      </c>
      <c r="C330" s="22">
        <v>582</v>
      </c>
      <c r="D330" s="22">
        <v>512</v>
      </c>
      <c r="E330" s="22">
        <v>200</v>
      </c>
      <c r="F330" s="22">
        <v>6000</v>
      </c>
      <c r="G330" s="22">
        <v>5.9</v>
      </c>
      <c r="H330" s="22" t="s">
        <v>21</v>
      </c>
      <c r="I330" s="22" t="s">
        <v>60</v>
      </c>
      <c r="J330" s="22">
        <v>4.4000000000000004</v>
      </c>
    </row>
    <row r="331" spans="1:10" x14ac:dyDescent="0.25">
      <c r="A331" s="22" t="s">
        <v>33</v>
      </c>
      <c r="B331" s="22" t="s">
        <v>392</v>
      </c>
      <c r="C331" s="22">
        <v>582</v>
      </c>
      <c r="D331" s="22">
        <v>64</v>
      </c>
      <c r="E331" s="22">
        <v>12</v>
      </c>
      <c r="F331" s="22">
        <v>5000</v>
      </c>
      <c r="G331" s="22">
        <v>7</v>
      </c>
      <c r="H331" s="22" t="s">
        <v>13</v>
      </c>
      <c r="I331" s="22" t="s">
        <v>14</v>
      </c>
      <c r="J331" s="22">
        <v>4.3</v>
      </c>
    </row>
    <row r="332" spans="1:10" x14ac:dyDescent="0.25">
      <c r="A332" s="22" t="s">
        <v>16</v>
      </c>
      <c r="B332" s="22" t="s">
        <v>393</v>
      </c>
      <c r="C332" s="22">
        <v>584</v>
      </c>
      <c r="D332" s="22">
        <v>256</v>
      </c>
      <c r="E332" s="22">
        <v>48</v>
      </c>
      <c r="F332" s="22">
        <v>5000</v>
      </c>
      <c r="G332" s="22">
        <v>6.6</v>
      </c>
      <c r="H332" s="22" t="s">
        <v>13</v>
      </c>
      <c r="I332" s="22" t="s">
        <v>14</v>
      </c>
      <c r="J332" s="22">
        <v>4.3</v>
      </c>
    </row>
    <row r="333" spans="1:10" x14ac:dyDescent="0.25">
      <c r="A333" s="22" t="s">
        <v>19</v>
      </c>
      <c r="B333" s="22" t="s">
        <v>394</v>
      </c>
      <c r="C333" s="22">
        <v>585</v>
      </c>
      <c r="D333" s="22">
        <v>1024</v>
      </c>
      <c r="E333" s="22">
        <v>50</v>
      </c>
      <c r="F333" s="22">
        <v>5000</v>
      </c>
      <c r="G333" s="22">
        <v>6</v>
      </c>
      <c r="H333" s="22" t="s">
        <v>13</v>
      </c>
      <c r="I333" s="22" t="s">
        <v>14</v>
      </c>
      <c r="J333" s="22">
        <v>4.3</v>
      </c>
    </row>
    <row r="334" spans="1:10" x14ac:dyDescent="0.25">
      <c r="A334" s="22" t="s">
        <v>24</v>
      </c>
      <c r="B334" s="22" t="s">
        <v>395</v>
      </c>
      <c r="C334" s="22">
        <v>586</v>
      </c>
      <c r="D334" s="22">
        <v>128</v>
      </c>
      <c r="E334" s="22">
        <v>48</v>
      </c>
      <c r="F334" s="22">
        <v>4000</v>
      </c>
      <c r="G334" s="22">
        <v>7.1</v>
      </c>
      <c r="H334" s="22" t="s">
        <v>21</v>
      </c>
      <c r="I334" s="22" t="s">
        <v>14</v>
      </c>
      <c r="J334" s="22">
        <v>3.6</v>
      </c>
    </row>
    <row r="335" spans="1:10" x14ac:dyDescent="0.25">
      <c r="A335" s="22" t="s">
        <v>24</v>
      </c>
      <c r="B335" s="22" t="s">
        <v>396</v>
      </c>
      <c r="C335" s="22">
        <v>596</v>
      </c>
      <c r="D335" s="22">
        <v>256</v>
      </c>
      <c r="E335" s="22">
        <v>12</v>
      </c>
      <c r="F335" s="22">
        <v>5500</v>
      </c>
      <c r="G335" s="22">
        <v>7</v>
      </c>
      <c r="H335" s="22" t="s">
        <v>21</v>
      </c>
      <c r="I335" s="22" t="s">
        <v>14</v>
      </c>
      <c r="J335" s="22">
        <v>4.3</v>
      </c>
    </row>
    <row r="336" spans="1:10" x14ac:dyDescent="0.25">
      <c r="A336" s="22" t="s">
        <v>47</v>
      </c>
      <c r="B336" s="22" t="s">
        <v>397</v>
      </c>
      <c r="C336" s="22">
        <v>600</v>
      </c>
      <c r="D336" s="22">
        <v>512</v>
      </c>
      <c r="E336" s="22">
        <v>108</v>
      </c>
      <c r="F336" s="22">
        <v>6000</v>
      </c>
      <c r="G336" s="22">
        <v>5.9</v>
      </c>
      <c r="H336" s="22" t="s">
        <v>21</v>
      </c>
      <c r="I336" s="22" t="s">
        <v>14</v>
      </c>
      <c r="J336" s="22">
        <v>3.8</v>
      </c>
    </row>
    <row r="337" spans="1:10" x14ac:dyDescent="0.25">
      <c r="A337" s="22" t="s">
        <v>58</v>
      </c>
      <c r="B337" s="22" t="s">
        <v>398</v>
      </c>
      <c r="C337" s="22">
        <v>602</v>
      </c>
      <c r="D337" s="22">
        <v>512</v>
      </c>
      <c r="E337" s="22">
        <v>108</v>
      </c>
      <c r="F337" s="22">
        <v>4500</v>
      </c>
      <c r="G337" s="22">
        <v>6.9</v>
      </c>
      <c r="H337" s="22" t="s">
        <v>13</v>
      </c>
      <c r="I337" s="22" t="s">
        <v>60</v>
      </c>
      <c r="J337" s="22">
        <v>4.4000000000000004</v>
      </c>
    </row>
    <row r="338" spans="1:10" x14ac:dyDescent="0.25">
      <c r="A338" s="22" t="s">
        <v>33</v>
      </c>
      <c r="B338" s="22" t="s">
        <v>399</v>
      </c>
      <c r="C338" s="22">
        <v>604</v>
      </c>
      <c r="D338" s="22">
        <v>512</v>
      </c>
      <c r="E338" s="22">
        <v>108</v>
      </c>
      <c r="F338" s="22">
        <v>5000</v>
      </c>
      <c r="G338" s="22">
        <v>6.4</v>
      </c>
      <c r="H338" s="22" t="s">
        <v>21</v>
      </c>
      <c r="I338" s="22" t="s">
        <v>14</v>
      </c>
      <c r="J338" s="22">
        <v>3.8</v>
      </c>
    </row>
    <row r="339" spans="1:10" x14ac:dyDescent="0.25">
      <c r="A339" s="22" t="s">
        <v>52</v>
      </c>
      <c r="B339" s="22" t="s">
        <v>400</v>
      </c>
      <c r="C339" s="22">
        <v>604</v>
      </c>
      <c r="D339" s="22">
        <v>64</v>
      </c>
      <c r="E339" s="22">
        <v>12</v>
      </c>
      <c r="F339" s="22">
        <v>5500</v>
      </c>
      <c r="G339" s="22">
        <v>7.1</v>
      </c>
      <c r="H339" s="22" t="s">
        <v>13</v>
      </c>
      <c r="I339" s="22" t="s">
        <v>14</v>
      </c>
      <c r="J339" s="22">
        <v>3.5</v>
      </c>
    </row>
    <row r="340" spans="1:10" x14ac:dyDescent="0.25">
      <c r="A340" s="22" t="s">
        <v>52</v>
      </c>
      <c r="B340" s="22" t="s">
        <v>401</v>
      </c>
      <c r="C340" s="22">
        <v>607</v>
      </c>
      <c r="D340" s="22">
        <v>64</v>
      </c>
      <c r="E340" s="22">
        <v>200</v>
      </c>
      <c r="F340" s="22">
        <v>4500</v>
      </c>
      <c r="G340" s="22">
        <v>7.1</v>
      </c>
      <c r="H340" s="22" t="s">
        <v>13</v>
      </c>
      <c r="I340" s="22" t="s">
        <v>14</v>
      </c>
      <c r="J340" s="22">
        <v>4.4000000000000004</v>
      </c>
    </row>
    <row r="341" spans="1:10" x14ac:dyDescent="0.25">
      <c r="A341" s="22" t="s">
        <v>47</v>
      </c>
      <c r="B341" s="22" t="s">
        <v>402</v>
      </c>
      <c r="C341" s="22">
        <v>609</v>
      </c>
      <c r="D341" s="22">
        <v>64</v>
      </c>
      <c r="E341" s="22">
        <v>108</v>
      </c>
      <c r="F341" s="22">
        <v>6000</v>
      </c>
      <c r="G341" s="22">
        <v>6.2</v>
      </c>
      <c r="H341" s="22" t="s">
        <v>13</v>
      </c>
      <c r="I341" s="22" t="s">
        <v>14</v>
      </c>
      <c r="J341" s="22">
        <v>5</v>
      </c>
    </row>
    <row r="342" spans="1:10" x14ac:dyDescent="0.25">
      <c r="A342" s="22" t="s">
        <v>47</v>
      </c>
      <c r="B342" s="22" t="s">
        <v>403</v>
      </c>
      <c r="C342" s="22">
        <v>610</v>
      </c>
      <c r="D342" s="22">
        <v>512</v>
      </c>
      <c r="E342" s="22">
        <v>48</v>
      </c>
      <c r="F342" s="22">
        <v>4500</v>
      </c>
      <c r="G342" s="22">
        <v>5.6</v>
      </c>
      <c r="H342" s="22" t="s">
        <v>21</v>
      </c>
      <c r="I342" s="22" t="s">
        <v>14</v>
      </c>
      <c r="J342" s="22">
        <v>3.9</v>
      </c>
    </row>
    <row r="343" spans="1:10" x14ac:dyDescent="0.25">
      <c r="A343" s="22" t="s">
        <v>33</v>
      </c>
      <c r="B343" s="22" t="s">
        <v>404</v>
      </c>
      <c r="C343" s="22">
        <v>611</v>
      </c>
      <c r="D343" s="22">
        <v>64</v>
      </c>
      <c r="E343" s="22">
        <v>12</v>
      </c>
      <c r="F343" s="22">
        <v>5000</v>
      </c>
      <c r="G343" s="22">
        <v>6.1</v>
      </c>
      <c r="H343" s="22" t="s">
        <v>21</v>
      </c>
      <c r="I343" s="22" t="s">
        <v>14</v>
      </c>
      <c r="J343" s="22">
        <v>3.7</v>
      </c>
    </row>
    <row r="344" spans="1:10" x14ac:dyDescent="0.25">
      <c r="A344" s="22" t="s">
        <v>24</v>
      </c>
      <c r="B344" s="22" t="s">
        <v>405</v>
      </c>
      <c r="C344" s="22">
        <v>613</v>
      </c>
      <c r="D344" s="22">
        <v>1024</v>
      </c>
      <c r="E344" s="22">
        <v>50</v>
      </c>
      <c r="F344" s="22">
        <v>4500</v>
      </c>
      <c r="G344" s="22">
        <v>5.9</v>
      </c>
      <c r="H344" s="22" t="s">
        <v>21</v>
      </c>
      <c r="I344" s="22" t="s">
        <v>14</v>
      </c>
      <c r="J344" s="22">
        <v>3.9</v>
      </c>
    </row>
    <row r="345" spans="1:10" x14ac:dyDescent="0.25">
      <c r="A345" s="22" t="s">
        <v>11</v>
      </c>
      <c r="B345" s="22" t="s">
        <v>406</v>
      </c>
      <c r="C345" s="22">
        <v>618</v>
      </c>
      <c r="D345" s="22">
        <v>128</v>
      </c>
      <c r="E345" s="22">
        <v>64</v>
      </c>
      <c r="F345" s="22">
        <v>4500</v>
      </c>
      <c r="G345" s="22">
        <v>6.9</v>
      </c>
      <c r="H345" s="22" t="s">
        <v>21</v>
      </c>
      <c r="I345" s="22" t="s">
        <v>14</v>
      </c>
      <c r="J345" s="22">
        <v>4.4000000000000004</v>
      </c>
    </row>
    <row r="346" spans="1:10" x14ac:dyDescent="0.25">
      <c r="A346" s="22" t="s">
        <v>33</v>
      </c>
      <c r="B346" s="22" t="s">
        <v>407</v>
      </c>
      <c r="C346" s="22">
        <v>622</v>
      </c>
      <c r="D346" s="22">
        <v>64</v>
      </c>
      <c r="E346" s="22">
        <v>200</v>
      </c>
      <c r="F346" s="22">
        <v>4000</v>
      </c>
      <c r="G346" s="22">
        <v>7.2</v>
      </c>
      <c r="H346" s="22" t="s">
        <v>21</v>
      </c>
      <c r="I346" s="22" t="s">
        <v>14</v>
      </c>
      <c r="J346" s="22">
        <v>4.9000000000000004</v>
      </c>
    </row>
    <row r="347" spans="1:10" x14ac:dyDescent="0.25">
      <c r="A347" s="22" t="s">
        <v>58</v>
      </c>
      <c r="B347" s="22" t="s">
        <v>408</v>
      </c>
      <c r="C347" s="22">
        <v>625</v>
      </c>
      <c r="D347" s="22">
        <v>1024</v>
      </c>
      <c r="E347" s="22">
        <v>50</v>
      </c>
      <c r="F347" s="22">
        <v>4500</v>
      </c>
      <c r="G347" s="22">
        <v>6.5</v>
      </c>
      <c r="H347" s="22" t="s">
        <v>21</v>
      </c>
      <c r="I347" s="22" t="s">
        <v>60</v>
      </c>
      <c r="J347" s="22">
        <v>4.3</v>
      </c>
    </row>
    <row r="348" spans="1:10" x14ac:dyDescent="0.25">
      <c r="A348" s="22" t="s">
        <v>91</v>
      </c>
      <c r="B348" s="22" t="s">
        <v>409</v>
      </c>
      <c r="C348" s="22">
        <v>626</v>
      </c>
      <c r="D348" s="22">
        <v>64</v>
      </c>
      <c r="E348" s="22">
        <v>50</v>
      </c>
      <c r="F348" s="22">
        <v>6000</v>
      </c>
      <c r="G348" s="22">
        <v>6.6</v>
      </c>
      <c r="H348" s="22" t="s">
        <v>13</v>
      </c>
      <c r="I348" s="22" t="s">
        <v>14</v>
      </c>
      <c r="J348" s="22">
        <v>4.3</v>
      </c>
    </row>
    <row r="349" spans="1:10" x14ac:dyDescent="0.25">
      <c r="A349" s="22" t="s">
        <v>11</v>
      </c>
      <c r="B349" s="22" t="s">
        <v>410</v>
      </c>
      <c r="C349" s="22">
        <v>627</v>
      </c>
      <c r="D349" s="22">
        <v>512</v>
      </c>
      <c r="E349" s="22">
        <v>50</v>
      </c>
      <c r="F349" s="22">
        <v>6000</v>
      </c>
      <c r="G349" s="22">
        <v>6.3</v>
      </c>
      <c r="H349" s="22" t="s">
        <v>21</v>
      </c>
      <c r="I349" s="22" t="s">
        <v>14</v>
      </c>
      <c r="J349" s="22">
        <v>4.5999999999999996</v>
      </c>
    </row>
    <row r="350" spans="1:10" x14ac:dyDescent="0.25">
      <c r="A350" s="22" t="s">
        <v>24</v>
      </c>
      <c r="B350" s="22" t="s">
        <v>411</v>
      </c>
      <c r="C350" s="22">
        <v>627</v>
      </c>
      <c r="D350" s="22">
        <v>128</v>
      </c>
      <c r="E350" s="22">
        <v>200</v>
      </c>
      <c r="F350" s="22">
        <v>6000</v>
      </c>
      <c r="G350" s="22">
        <v>6.1</v>
      </c>
      <c r="H350" s="22" t="s">
        <v>13</v>
      </c>
      <c r="I350" s="22" t="s">
        <v>14</v>
      </c>
      <c r="J350" s="22">
        <v>4.5999999999999996</v>
      </c>
    </row>
    <row r="351" spans="1:10" x14ac:dyDescent="0.25">
      <c r="A351" s="22" t="s">
        <v>47</v>
      </c>
      <c r="B351" s="22" t="s">
        <v>412</v>
      </c>
      <c r="C351" s="22">
        <v>627</v>
      </c>
      <c r="D351" s="22">
        <v>512</v>
      </c>
      <c r="E351" s="22">
        <v>108</v>
      </c>
      <c r="F351" s="22">
        <v>6000</v>
      </c>
      <c r="G351" s="22">
        <v>5.9</v>
      </c>
      <c r="H351" s="22" t="s">
        <v>13</v>
      </c>
      <c r="I351" s="22" t="s">
        <v>14</v>
      </c>
      <c r="J351" s="22">
        <v>4.8</v>
      </c>
    </row>
    <row r="352" spans="1:10" x14ac:dyDescent="0.25">
      <c r="A352" s="22" t="s">
        <v>16</v>
      </c>
      <c r="B352" s="22" t="s">
        <v>413</v>
      </c>
      <c r="C352" s="22">
        <v>627</v>
      </c>
      <c r="D352" s="22">
        <v>512</v>
      </c>
      <c r="E352" s="22">
        <v>64</v>
      </c>
      <c r="F352" s="22">
        <v>4000</v>
      </c>
      <c r="G352" s="22">
        <v>5.6</v>
      </c>
      <c r="H352" s="22" t="s">
        <v>13</v>
      </c>
      <c r="I352" s="22" t="s">
        <v>14</v>
      </c>
      <c r="J352" s="22">
        <v>4.0999999999999996</v>
      </c>
    </row>
    <row r="353" spans="1:10" x14ac:dyDescent="0.25">
      <c r="A353" s="22" t="s">
        <v>58</v>
      </c>
      <c r="B353" s="22" t="s">
        <v>414</v>
      </c>
      <c r="C353" s="22">
        <v>628</v>
      </c>
      <c r="D353" s="22">
        <v>64</v>
      </c>
      <c r="E353" s="22">
        <v>64</v>
      </c>
      <c r="F353" s="22">
        <v>5000</v>
      </c>
      <c r="G353" s="22">
        <v>7.2</v>
      </c>
      <c r="H353" s="22" t="s">
        <v>13</v>
      </c>
      <c r="I353" s="22" t="s">
        <v>60</v>
      </c>
      <c r="J353" s="22">
        <v>3.7</v>
      </c>
    </row>
    <row r="354" spans="1:10" x14ac:dyDescent="0.25">
      <c r="A354" s="22" t="s">
        <v>47</v>
      </c>
      <c r="B354" s="22" t="s">
        <v>415</v>
      </c>
      <c r="C354" s="22">
        <v>628</v>
      </c>
      <c r="D354" s="22">
        <v>128</v>
      </c>
      <c r="E354" s="22">
        <v>48</v>
      </c>
      <c r="F354" s="22">
        <v>6000</v>
      </c>
      <c r="G354" s="22">
        <v>5.8</v>
      </c>
      <c r="H354" s="22" t="s">
        <v>21</v>
      </c>
      <c r="I354" s="22" t="s">
        <v>14</v>
      </c>
      <c r="J354" s="22">
        <v>4.0999999999999996</v>
      </c>
    </row>
    <row r="355" spans="1:10" x14ac:dyDescent="0.25">
      <c r="A355" s="22" t="s">
        <v>19</v>
      </c>
      <c r="B355" s="22" t="s">
        <v>416</v>
      </c>
      <c r="C355" s="22">
        <v>629</v>
      </c>
      <c r="D355" s="22">
        <v>256</v>
      </c>
      <c r="E355" s="22">
        <v>64</v>
      </c>
      <c r="F355" s="22">
        <v>6000</v>
      </c>
      <c r="G355" s="22">
        <v>7.1</v>
      </c>
      <c r="H355" s="22" t="s">
        <v>21</v>
      </c>
      <c r="I355" s="22" t="s">
        <v>14</v>
      </c>
      <c r="J355" s="22">
        <v>3.7</v>
      </c>
    </row>
    <row r="356" spans="1:10" x14ac:dyDescent="0.25">
      <c r="A356" s="22" t="s">
        <v>11</v>
      </c>
      <c r="B356" s="22" t="s">
        <v>417</v>
      </c>
      <c r="C356" s="22">
        <v>629</v>
      </c>
      <c r="D356" s="22">
        <v>1024</v>
      </c>
      <c r="E356" s="22">
        <v>12</v>
      </c>
      <c r="F356" s="22">
        <v>4000</v>
      </c>
      <c r="G356" s="22">
        <v>6.8</v>
      </c>
      <c r="H356" s="22" t="s">
        <v>13</v>
      </c>
      <c r="I356" s="22" t="s">
        <v>14</v>
      </c>
      <c r="J356" s="22">
        <v>4.9000000000000004</v>
      </c>
    </row>
    <row r="357" spans="1:10" x14ac:dyDescent="0.25">
      <c r="A357" s="22" t="s">
        <v>11</v>
      </c>
      <c r="B357" s="22" t="s">
        <v>418</v>
      </c>
      <c r="C357" s="22">
        <v>631</v>
      </c>
      <c r="D357" s="22">
        <v>128</v>
      </c>
      <c r="E357" s="22">
        <v>48</v>
      </c>
      <c r="F357" s="22">
        <v>5500</v>
      </c>
      <c r="G357" s="22">
        <v>6</v>
      </c>
      <c r="H357" s="22" t="s">
        <v>21</v>
      </c>
      <c r="I357" s="22" t="s">
        <v>14</v>
      </c>
      <c r="J357" s="22">
        <v>4.0999999999999996</v>
      </c>
    </row>
    <row r="358" spans="1:10" x14ac:dyDescent="0.25">
      <c r="A358" s="22" t="s">
        <v>58</v>
      </c>
      <c r="B358" s="22" t="s">
        <v>419</v>
      </c>
      <c r="C358" s="22">
        <v>633</v>
      </c>
      <c r="D358" s="22">
        <v>128</v>
      </c>
      <c r="E358" s="22">
        <v>12</v>
      </c>
      <c r="F358" s="22">
        <v>4500</v>
      </c>
      <c r="G358" s="22">
        <v>6.9</v>
      </c>
      <c r="H358" s="22" t="s">
        <v>21</v>
      </c>
      <c r="I358" s="22" t="s">
        <v>60</v>
      </c>
      <c r="J358" s="22">
        <v>4.0999999999999996</v>
      </c>
    </row>
    <row r="359" spans="1:10" x14ac:dyDescent="0.25">
      <c r="A359" s="22" t="s">
        <v>19</v>
      </c>
      <c r="B359" s="22" t="s">
        <v>420</v>
      </c>
      <c r="C359" s="22">
        <v>633</v>
      </c>
      <c r="D359" s="22">
        <v>64</v>
      </c>
      <c r="E359" s="22">
        <v>200</v>
      </c>
      <c r="F359" s="22">
        <v>5000</v>
      </c>
      <c r="G359" s="22">
        <v>7.1</v>
      </c>
      <c r="H359" s="22" t="s">
        <v>13</v>
      </c>
      <c r="I359" s="22" t="s">
        <v>14</v>
      </c>
      <c r="J359" s="22">
        <v>3.9</v>
      </c>
    </row>
    <row r="360" spans="1:10" x14ac:dyDescent="0.25">
      <c r="A360" s="22" t="s">
        <v>11</v>
      </c>
      <c r="B360" s="22" t="s">
        <v>421</v>
      </c>
      <c r="C360" s="22">
        <v>634</v>
      </c>
      <c r="D360" s="22">
        <v>64</v>
      </c>
      <c r="E360" s="22">
        <v>12</v>
      </c>
      <c r="F360" s="22">
        <v>4000</v>
      </c>
      <c r="G360" s="22">
        <v>6.9</v>
      </c>
      <c r="H360" s="22" t="s">
        <v>21</v>
      </c>
      <c r="I360" s="22" t="s">
        <v>14</v>
      </c>
      <c r="J360" s="22">
        <v>4.4000000000000004</v>
      </c>
    </row>
    <row r="361" spans="1:10" x14ac:dyDescent="0.25">
      <c r="A361" s="22" t="s">
        <v>16</v>
      </c>
      <c r="B361" s="22" t="s">
        <v>422</v>
      </c>
      <c r="C361" s="22">
        <v>635</v>
      </c>
      <c r="D361" s="22">
        <v>512</v>
      </c>
      <c r="E361" s="22">
        <v>200</v>
      </c>
      <c r="F361" s="22">
        <v>5000</v>
      </c>
      <c r="G361" s="22">
        <v>6</v>
      </c>
      <c r="H361" s="22" t="s">
        <v>13</v>
      </c>
      <c r="I361" s="22" t="s">
        <v>14</v>
      </c>
      <c r="J361" s="22">
        <v>4</v>
      </c>
    </row>
    <row r="362" spans="1:10" x14ac:dyDescent="0.25">
      <c r="A362" s="22" t="s">
        <v>19</v>
      </c>
      <c r="B362" s="22" t="s">
        <v>423</v>
      </c>
      <c r="C362" s="22">
        <v>636</v>
      </c>
      <c r="D362" s="22">
        <v>256</v>
      </c>
      <c r="E362" s="22">
        <v>108</v>
      </c>
      <c r="F362" s="22">
        <v>5500</v>
      </c>
      <c r="G362" s="22">
        <v>7</v>
      </c>
      <c r="H362" s="22" t="s">
        <v>13</v>
      </c>
      <c r="I362" s="22" t="s">
        <v>14</v>
      </c>
      <c r="J362" s="22">
        <v>4</v>
      </c>
    </row>
    <row r="363" spans="1:10" x14ac:dyDescent="0.25">
      <c r="A363" s="22" t="s">
        <v>24</v>
      </c>
      <c r="B363" s="22" t="s">
        <v>424</v>
      </c>
      <c r="C363" s="22">
        <v>637</v>
      </c>
      <c r="D363" s="22">
        <v>512</v>
      </c>
      <c r="E363" s="22">
        <v>200</v>
      </c>
      <c r="F363" s="22">
        <v>5000</v>
      </c>
      <c r="G363" s="22">
        <v>5.6</v>
      </c>
      <c r="H363" s="22" t="s">
        <v>13</v>
      </c>
      <c r="I363" s="22" t="s">
        <v>14</v>
      </c>
      <c r="J363" s="22">
        <v>4.9000000000000004</v>
      </c>
    </row>
    <row r="364" spans="1:10" x14ac:dyDescent="0.25">
      <c r="A364" s="22" t="s">
        <v>47</v>
      </c>
      <c r="B364" s="22" t="s">
        <v>425</v>
      </c>
      <c r="C364" s="22">
        <v>637</v>
      </c>
      <c r="D364" s="22">
        <v>1024</v>
      </c>
      <c r="E364" s="22">
        <v>48</v>
      </c>
      <c r="F364" s="22">
        <v>4500</v>
      </c>
      <c r="G364" s="22">
        <v>7</v>
      </c>
      <c r="H364" s="22" t="s">
        <v>21</v>
      </c>
      <c r="I364" s="22" t="s">
        <v>14</v>
      </c>
      <c r="J364" s="22">
        <v>3.6</v>
      </c>
    </row>
    <row r="365" spans="1:10" x14ac:dyDescent="0.25">
      <c r="A365" s="22" t="s">
        <v>91</v>
      </c>
      <c r="B365" s="22" t="s">
        <v>426</v>
      </c>
      <c r="C365" s="22">
        <v>638</v>
      </c>
      <c r="D365" s="22">
        <v>256</v>
      </c>
      <c r="E365" s="22">
        <v>50</v>
      </c>
      <c r="F365" s="22">
        <v>6000</v>
      </c>
      <c r="G365" s="22">
        <v>6.5</v>
      </c>
      <c r="H365" s="22" t="s">
        <v>13</v>
      </c>
      <c r="I365" s="22" t="s">
        <v>14</v>
      </c>
      <c r="J365" s="22">
        <v>4</v>
      </c>
    </row>
    <row r="366" spans="1:10" x14ac:dyDescent="0.25">
      <c r="A366" s="22" t="s">
        <v>33</v>
      </c>
      <c r="B366" s="22" t="s">
        <v>427</v>
      </c>
      <c r="C366" s="22">
        <v>638</v>
      </c>
      <c r="D366" s="22">
        <v>64</v>
      </c>
      <c r="E366" s="22">
        <v>48</v>
      </c>
      <c r="F366" s="22">
        <v>6000</v>
      </c>
      <c r="G366" s="22">
        <v>7.2</v>
      </c>
      <c r="H366" s="22" t="s">
        <v>21</v>
      </c>
      <c r="I366" s="22" t="s">
        <v>14</v>
      </c>
      <c r="J366" s="22">
        <v>4</v>
      </c>
    </row>
    <row r="367" spans="1:10" x14ac:dyDescent="0.25">
      <c r="A367" s="22" t="s">
        <v>24</v>
      </c>
      <c r="B367" s="22" t="s">
        <v>428</v>
      </c>
      <c r="C367" s="22">
        <v>639</v>
      </c>
      <c r="D367" s="22">
        <v>128</v>
      </c>
      <c r="E367" s="22">
        <v>12</v>
      </c>
      <c r="F367" s="22">
        <v>4000</v>
      </c>
      <c r="G367" s="22">
        <v>5.5</v>
      </c>
      <c r="H367" s="22" t="s">
        <v>21</v>
      </c>
      <c r="I367" s="22" t="s">
        <v>14</v>
      </c>
      <c r="J367" s="22">
        <v>4.9000000000000004</v>
      </c>
    </row>
    <row r="368" spans="1:10" x14ac:dyDescent="0.25">
      <c r="A368" s="22" t="s">
        <v>33</v>
      </c>
      <c r="B368" s="22" t="s">
        <v>429</v>
      </c>
      <c r="C368" s="22">
        <v>640</v>
      </c>
      <c r="D368" s="22">
        <v>64</v>
      </c>
      <c r="E368" s="22">
        <v>64</v>
      </c>
      <c r="F368" s="22">
        <v>6000</v>
      </c>
      <c r="G368" s="22">
        <v>6.4</v>
      </c>
      <c r="H368" s="22" t="s">
        <v>13</v>
      </c>
      <c r="I368" s="22" t="s">
        <v>14</v>
      </c>
      <c r="J368" s="22">
        <v>3.6</v>
      </c>
    </row>
    <row r="369" spans="1:10" x14ac:dyDescent="0.25">
      <c r="A369" s="22" t="s">
        <v>47</v>
      </c>
      <c r="B369" s="22" t="s">
        <v>430</v>
      </c>
      <c r="C369" s="22">
        <v>642</v>
      </c>
      <c r="D369" s="22">
        <v>256</v>
      </c>
      <c r="E369" s="22">
        <v>200</v>
      </c>
      <c r="F369" s="22">
        <v>5500</v>
      </c>
      <c r="G369" s="22">
        <v>7.1</v>
      </c>
      <c r="H369" s="22" t="s">
        <v>13</v>
      </c>
      <c r="I369" s="22" t="s">
        <v>14</v>
      </c>
      <c r="J369" s="22">
        <v>4.2</v>
      </c>
    </row>
    <row r="370" spans="1:10" x14ac:dyDescent="0.25">
      <c r="A370" s="22" t="s">
        <v>33</v>
      </c>
      <c r="B370" s="22" t="s">
        <v>431</v>
      </c>
      <c r="C370" s="22">
        <v>642</v>
      </c>
      <c r="D370" s="22">
        <v>128</v>
      </c>
      <c r="E370" s="22">
        <v>108</v>
      </c>
      <c r="F370" s="22">
        <v>5000</v>
      </c>
      <c r="G370" s="22">
        <v>6</v>
      </c>
      <c r="H370" s="22" t="s">
        <v>21</v>
      </c>
      <c r="I370" s="22" t="s">
        <v>14</v>
      </c>
      <c r="J370" s="22">
        <v>3.5</v>
      </c>
    </row>
    <row r="371" spans="1:10" x14ac:dyDescent="0.25">
      <c r="A371" s="22" t="s">
        <v>47</v>
      </c>
      <c r="B371" s="22" t="s">
        <v>432</v>
      </c>
      <c r="C371" s="22">
        <v>644</v>
      </c>
      <c r="D371" s="22">
        <v>512</v>
      </c>
      <c r="E371" s="22">
        <v>48</v>
      </c>
      <c r="F371" s="22">
        <v>6000</v>
      </c>
      <c r="G371" s="22">
        <v>6.2</v>
      </c>
      <c r="H371" s="22" t="s">
        <v>13</v>
      </c>
      <c r="I371" s="22" t="s">
        <v>14</v>
      </c>
      <c r="J371" s="22">
        <v>4.7</v>
      </c>
    </row>
    <row r="372" spans="1:10" x14ac:dyDescent="0.25">
      <c r="A372" s="22" t="s">
        <v>91</v>
      </c>
      <c r="B372" s="22" t="s">
        <v>433</v>
      </c>
      <c r="C372" s="22">
        <v>645</v>
      </c>
      <c r="D372" s="22">
        <v>64</v>
      </c>
      <c r="E372" s="22">
        <v>12</v>
      </c>
      <c r="F372" s="22">
        <v>4000</v>
      </c>
      <c r="G372" s="22">
        <v>6.8</v>
      </c>
      <c r="H372" s="22" t="s">
        <v>13</v>
      </c>
      <c r="I372" s="22" t="s">
        <v>14</v>
      </c>
      <c r="J372" s="22">
        <v>4.8</v>
      </c>
    </row>
    <row r="373" spans="1:10" x14ac:dyDescent="0.25">
      <c r="A373" s="22" t="s">
        <v>58</v>
      </c>
      <c r="B373" s="22" t="s">
        <v>434</v>
      </c>
      <c r="C373" s="22">
        <v>646</v>
      </c>
      <c r="D373" s="22">
        <v>128</v>
      </c>
      <c r="E373" s="22">
        <v>50</v>
      </c>
      <c r="F373" s="22">
        <v>5000</v>
      </c>
      <c r="G373" s="22">
        <v>6.8</v>
      </c>
      <c r="H373" s="22" t="s">
        <v>13</v>
      </c>
      <c r="I373" s="22" t="s">
        <v>60</v>
      </c>
      <c r="J373" s="22">
        <v>3.6</v>
      </c>
    </row>
    <row r="374" spans="1:10" x14ac:dyDescent="0.25">
      <c r="A374" s="22" t="s">
        <v>24</v>
      </c>
      <c r="B374" s="22" t="s">
        <v>435</v>
      </c>
      <c r="C374" s="22">
        <v>646</v>
      </c>
      <c r="D374" s="22">
        <v>128</v>
      </c>
      <c r="E374" s="22">
        <v>64</v>
      </c>
      <c r="F374" s="22">
        <v>6000</v>
      </c>
      <c r="G374" s="22">
        <v>6.5</v>
      </c>
      <c r="H374" s="22" t="s">
        <v>21</v>
      </c>
      <c r="I374" s="22" t="s">
        <v>14</v>
      </c>
      <c r="J374" s="22">
        <v>4.4000000000000004</v>
      </c>
    </row>
    <row r="375" spans="1:10" x14ac:dyDescent="0.25">
      <c r="A375" s="22" t="s">
        <v>47</v>
      </c>
      <c r="B375" s="22" t="s">
        <v>436</v>
      </c>
      <c r="C375" s="22">
        <v>648</v>
      </c>
      <c r="D375" s="22">
        <v>1024</v>
      </c>
      <c r="E375" s="22">
        <v>200</v>
      </c>
      <c r="F375" s="22">
        <v>4500</v>
      </c>
      <c r="G375" s="22">
        <v>6</v>
      </c>
      <c r="H375" s="22" t="s">
        <v>21</v>
      </c>
      <c r="I375" s="22" t="s">
        <v>14</v>
      </c>
      <c r="J375" s="22">
        <v>4.9000000000000004</v>
      </c>
    </row>
    <row r="376" spans="1:10" x14ac:dyDescent="0.25">
      <c r="A376" s="22" t="s">
        <v>19</v>
      </c>
      <c r="B376" s="22" t="s">
        <v>437</v>
      </c>
      <c r="C376" s="22">
        <v>648</v>
      </c>
      <c r="D376" s="22">
        <v>1024</v>
      </c>
      <c r="E376" s="22">
        <v>108</v>
      </c>
      <c r="F376" s="22">
        <v>4500</v>
      </c>
      <c r="G376" s="22">
        <v>6.4</v>
      </c>
      <c r="H376" s="22" t="s">
        <v>21</v>
      </c>
      <c r="I376" s="22" t="s">
        <v>14</v>
      </c>
      <c r="J376" s="22">
        <v>4.7</v>
      </c>
    </row>
    <row r="377" spans="1:10" x14ac:dyDescent="0.25">
      <c r="A377" s="22" t="s">
        <v>24</v>
      </c>
      <c r="B377" s="22" t="s">
        <v>438</v>
      </c>
      <c r="C377" s="22">
        <v>650</v>
      </c>
      <c r="D377" s="22">
        <v>64</v>
      </c>
      <c r="E377" s="22">
        <v>12</v>
      </c>
      <c r="F377" s="22">
        <v>5500</v>
      </c>
      <c r="G377" s="22">
        <v>6.2</v>
      </c>
      <c r="H377" s="22" t="s">
        <v>13</v>
      </c>
      <c r="I377" s="22" t="s">
        <v>14</v>
      </c>
      <c r="J377" s="22">
        <v>4.2</v>
      </c>
    </row>
    <row r="378" spans="1:10" x14ac:dyDescent="0.25">
      <c r="A378" s="22" t="s">
        <v>19</v>
      </c>
      <c r="B378" s="22" t="s">
        <v>439</v>
      </c>
      <c r="C378" s="22">
        <v>651</v>
      </c>
      <c r="D378" s="22">
        <v>1024</v>
      </c>
      <c r="E378" s="22">
        <v>64</v>
      </c>
      <c r="F378" s="22">
        <v>4500</v>
      </c>
      <c r="G378" s="22">
        <v>5.7</v>
      </c>
      <c r="H378" s="22" t="s">
        <v>21</v>
      </c>
      <c r="I378" s="22" t="s">
        <v>14</v>
      </c>
      <c r="J378" s="22">
        <v>3.6</v>
      </c>
    </row>
    <row r="379" spans="1:10" x14ac:dyDescent="0.25">
      <c r="A379" s="22" t="s">
        <v>52</v>
      </c>
      <c r="B379" s="22" t="s">
        <v>440</v>
      </c>
      <c r="C379" s="22">
        <v>653</v>
      </c>
      <c r="D379" s="22">
        <v>128</v>
      </c>
      <c r="E379" s="22">
        <v>200</v>
      </c>
      <c r="F379" s="22">
        <v>6000</v>
      </c>
      <c r="G379" s="22">
        <v>6</v>
      </c>
      <c r="H379" s="22" t="s">
        <v>21</v>
      </c>
      <c r="I379" s="22" t="s">
        <v>14</v>
      </c>
      <c r="J379" s="22">
        <v>4.0999999999999996</v>
      </c>
    </row>
    <row r="380" spans="1:10" x14ac:dyDescent="0.25">
      <c r="A380" s="22" t="s">
        <v>33</v>
      </c>
      <c r="B380" s="22" t="s">
        <v>441</v>
      </c>
      <c r="C380" s="22">
        <v>654</v>
      </c>
      <c r="D380" s="22">
        <v>512</v>
      </c>
      <c r="E380" s="22">
        <v>12</v>
      </c>
      <c r="F380" s="22">
        <v>6000</v>
      </c>
      <c r="G380" s="22">
        <v>7</v>
      </c>
      <c r="H380" s="22" t="s">
        <v>13</v>
      </c>
      <c r="I380" s="22" t="s">
        <v>14</v>
      </c>
      <c r="J380" s="22">
        <v>4.3</v>
      </c>
    </row>
    <row r="381" spans="1:10" x14ac:dyDescent="0.25">
      <c r="A381" s="22" t="s">
        <v>91</v>
      </c>
      <c r="B381" s="22" t="s">
        <v>442</v>
      </c>
      <c r="C381" s="22">
        <v>655</v>
      </c>
      <c r="D381" s="22">
        <v>128</v>
      </c>
      <c r="E381" s="22">
        <v>64</v>
      </c>
      <c r="F381" s="22">
        <v>5000</v>
      </c>
      <c r="G381" s="22">
        <v>6.9</v>
      </c>
      <c r="H381" s="22" t="s">
        <v>13</v>
      </c>
      <c r="I381" s="22" t="s">
        <v>14</v>
      </c>
      <c r="J381" s="22">
        <v>4.8</v>
      </c>
    </row>
    <row r="382" spans="1:10" x14ac:dyDescent="0.25">
      <c r="A382" s="22" t="s">
        <v>91</v>
      </c>
      <c r="B382" s="22" t="s">
        <v>443</v>
      </c>
      <c r="C382" s="22">
        <v>656</v>
      </c>
      <c r="D382" s="22">
        <v>64</v>
      </c>
      <c r="E382" s="22">
        <v>108</v>
      </c>
      <c r="F382" s="22">
        <v>5000</v>
      </c>
      <c r="G382" s="22">
        <v>5.7</v>
      </c>
      <c r="H382" s="22" t="s">
        <v>13</v>
      </c>
      <c r="I382" s="22" t="s">
        <v>14</v>
      </c>
      <c r="J382" s="22">
        <v>4</v>
      </c>
    </row>
    <row r="383" spans="1:10" x14ac:dyDescent="0.25">
      <c r="A383" s="22" t="s">
        <v>19</v>
      </c>
      <c r="B383" s="22" t="s">
        <v>444</v>
      </c>
      <c r="C383" s="22">
        <v>657</v>
      </c>
      <c r="D383" s="22">
        <v>512</v>
      </c>
      <c r="E383" s="22">
        <v>50</v>
      </c>
      <c r="F383" s="22">
        <v>4000</v>
      </c>
      <c r="G383" s="22">
        <v>7.2</v>
      </c>
      <c r="H383" s="22" t="s">
        <v>13</v>
      </c>
      <c r="I383" s="22" t="s">
        <v>14</v>
      </c>
      <c r="J383" s="22">
        <v>4.7</v>
      </c>
    </row>
    <row r="384" spans="1:10" x14ac:dyDescent="0.25">
      <c r="A384" s="22" t="s">
        <v>52</v>
      </c>
      <c r="B384" s="22" t="s">
        <v>445</v>
      </c>
      <c r="C384" s="22">
        <v>658</v>
      </c>
      <c r="D384" s="22">
        <v>64</v>
      </c>
      <c r="E384" s="22">
        <v>200</v>
      </c>
      <c r="F384" s="22">
        <v>4000</v>
      </c>
      <c r="G384" s="22">
        <v>6.8</v>
      </c>
      <c r="H384" s="22" t="s">
        <v>13</v>
      </c>
      <c r="I384" s="22" t="s">
        <v>14</v>
      </c>
      <c r="J384" s="22">
        <v>4.5</v>
      </c>
    </row>
    <row r="385" spans="1:10" x14ac:dyDescent="0.25">
      <c r="A385" s="22" t="s">
        <v>52</v>
      </c>
      <c r="B385" s="22" t="s">
        <v>446</v>
      </c>
      <c r="C385" s="22">
        <v>660</v>
      </c>
      <c r="D385" s="22">
        <v>64</v>
      </c>
      <c r="E385" s="22">
        <v>48</v>
      </c>
      <c r="F385" s="22">
        <v>5000</v>
      </c>
      <c r="G385" s="22">
        <v>5.5</v>
      </c>
      <c r="H385" s="22" t="s">
        <v>13</v>
      </c>
      <c r="I385" s="22" t="s">
        <v>14</v>
      </c>
      <c r="J385" s="22">
        <v>4.4000000000000004</v>
      </c>
    </row>
    <row r="386" spans="1:10" x14ac:dyDescent="0.25">
      <c r="A386" s="22" t="s">
        <v>16</v>
      </c>
      <c r="B386" s="22" t="s">
        <v>447</v>
      </c>
      <c r="C386" s="22">
        <v>661</v>
      </c>
      <c r="D386" s="22">
        <v>1024</v>
      </c>
      <c r="E386" s="22">
        <v>64</v>
      </c>
      <c r="F386" s="22">
        <v>5000</v>
      </c>
      <c r="G386" s="22">
        <v>7.2</v>
      </c>
      <c r="H386" s="22" t="s">
        <v>21</v>
      </c>
      <c r="I386" s="22" t="s">
        <v>14</v>
      </c>
      <c r="J386" s="22">
        <v>3.6</v>
      </c>
    </row>
    <row r="387" spans="1:10" x14ac:dyDescent="0.25">
      <c r="A387" s="22" t="s">
        <v>58</v>
      </c>
      <c r="B387" s="22" t="s">
        <v>448</v>
      </c>
      <c r="C387" s="22">
        <v>661</v>
      </c>
      <c r="D387" s="22">
        <v>256</v>
      </c>
      <c r="E387" s="22">
        <v>200</v>
      </c>
      <c r="F387" s="22">
        <v>4000</v>
      </c>
      <c r="G387" s="22">
        <v>6.5</v>
      </c>
      <c r="H387" s="22" t="s">
        <v>21</v>
      </c>
      <c r="I387" s="22" t="s">
        <v>60</v>
      </c>
      <c r="J387" s="22">
        <v>4.5</v>
      </c>
    </row>
    <row r="388" spans="1:10" x14ac:dyDescent="0.25">
      <c r="A388" s="22" t="s">
        <v>91</v>
      </c>
      <c r="B388" s="22" t="s">
        <v>449</v>
      </c>
      <c r="C388" s="22">
        <v>661</v>
      </c>
      <c r="D388" s="22">
        <v>256</v>
      </c>
      <c r="E388" s="22">
        <v>50</v>
      </c>
      <c r="F388" s="22">
        <v>5000</v>
      </c>
      <c r="G388" s="22">
        <v>6.1</v>
      </c>
      <c r="H388" s="22" t="s">
        <v>13</v>
      </c>
      <c r="I388" s="22" t="s">
        <v>14</v>
      </c>
      <c r="J388" s="22">
        <v>4.0999999999999996</v>
      </c>
    </row>
    <row r="389" spans="1:10" x14ac:dyDescent="0.25">
      <c r="A389" s="22" t="s">
        <v>91</v>
      </c>
      <c r="B389" s="22" t="s">
        <v>450</v>
      </c>
      <c r="C389" s="22">
        <v>662</v>
      </c>
      <c r="D389" s="22">
        <v>512</v>
      </c>
      <c r="E389" s="22">
        <v>108</v>
      </c>
      <c r="F389" s="22">
        <v>6000</v>
      </c>
      <c r="G389" s="22">
        <v>5.8</v>
      </c>
      <c r="H389" s="22" t="s">
        <v>13</v>
      </c>
      <c r="I389" s="22" t="s">
        <v>14</v>
      </c>
      <c r="J389" s="22">
        <v>4.7</v>
      </c>
    </row>
    <row r="390" spans="1:10" x14ac:dyDescent="0.25">
      <c r="A390" s="22" t="s">
        <v>52</v>
      </c>
      <c r="B390" s="22" t="s">
        <v>451</v>
      </c>
      <c r="C390" s="22">
        <v>662</v>
      </c>
      <c r="D390" s="22">
        <v>128</v>
      </c>
      <c r="E390" s="22">
        <v>64</v>
      </c>
      <c r="F390" s="22">
        <v>4500</v>
      </c>
      <c r="G390" s="22">
        <v>6.6</v>
      </c>
      <c r="H390" s="22" t="s">
        <v>21</v>
      </c>
      <c r="I390" s="22" t="s">
        <v>14</v>
      </c>
      <c r="J390" s="22">
        <v>3.9</v>
      </c>
    </row>
    <row r="391" spans="1:10" x14ac:dyDescent="0.25">
      <c r="A391" s="22" t="s">
        <v>33</v>
      </c>
      <c r="B391" s="22" t="s">
        <v>452</v>
      </c>
      <c r="C391" s="22">
        <v>664</v>
      </c>
      <c r="D391" s="22">
        <v>64</v>
      </c>
      <c r="E391" s="22">
        <v>12</v>
      </c>
      <c r="F391" s="22">
        <v>5500</v>
      </c>
      <c r="G391" s="22">
        <v>5.6</v>
      </c>
      <c r="H391" s="22" t="s">
        <v>21</v>
      </c>
      <c r="I391" s="22" t="s">
        <v>14</v>
      </c>
      <c r="J391" s="22">
        <v>3.7</v>
      </c>
    </row>
    <row r="392" spans="1:10" x14ac:dyDescent="0.25">
      <c r="A392" s="22" t="s">
        <v>52</v>
      </c>
      <c r="B392" s="22" t="s">
        <v>453</v>
      </c>
      <c r="C392" s="22">
        <v>664</v>
      </c>
      <c r="D392" s="22">
        <v>64</v>
      </c>
      <c r="E392" s="22">
        <v>50</v>
      </c>
      <c r="F392" s="22">
        <v>4000</v>
      </c>
      <c r="G392" s="22">
        <v>6.8</v>
      </c>
      <c r="H392" s="22" t="s">
        <v>21</v>
      </c>
      <c r="I392" s="22" t="s">
        <v>14</v>
      </c>
      <c r="J392" s="22">
        <v>4.4000000000000004</v>
      </c>
    </row>
    <row r="393" spans="1:10" x14ac:dyDescent="0.25">
      <c r="A393" s="22" t="s">
        <v>47</v>
      </c>
      <c r="B393" s="22" t="s">
        <v>454</v>
      </c>
      <c r="C393" s="22">
        <v>665</v>
      </c>
      <c r="D393" s="22">
        <v>1024</v>
      </c>
      <c r="E393" s="22">
        <v>48</v>
      </c>
      <c r="F393" s="22">
        <v>6000</v>
      </c>
      <c r="G393" s="22">
        <v>6.9</v>
      </c>
      <c r="H393" s="22" t="s">
        <v>13</v>
      </c>
      <c r="I393" s="22" t="s">
        <v>14</v>
      </c>
      <c r="J393" s="22">
        <v>4.4000000000000004</v>
      </c>
    </row>
    <row r="394" spans="1:10" x14ac:dyDescent="0.25">
      <c r="A394" s="22" t="s">
        <v>24</v>
      </c>
      <c r="B394" s="22" t="s">
        <v>455</v>
      </c>
      <c r="C394" s="22">
        <v>666</v>
      </c>
      <c r="D394" s="22">
        <v>64</v>
      </c>
      <c r="E394" s="22">
        <v>48</v>
      </c>
      <c r="F394" s="22">
        <v>4500</v>
      </c>
      <c r="G394" s="22">
        <v>6.8</v>
      </c>
      <c r="H394" s="22" t="s">
        <v>21</v>
      </c>
      <c r="I394" s="22" t="s">
        <v>14</v>
      </c>
      <c r="J394" s="22">
        <v>4.5</v>
      </c>
    </row>
    <row r="395" spans="1:10" x14ac:dyDescent="0.25">
      <c r="A395" s="22" t="s">
        <v>52</v>
      </c>
      <c r="B395" s="22" t="s">
        <v>456</v>
      </c>
      <c r="C395" s="22">
        <v>670</v>
      </c>
      <c r="D395" s="22">
        <v>64</v>
      </c>
      <c r="E395" s="22">
        <v>64</v>
      </c>
      <c r="F395" s="22">
        <v>5500</v>
      </c>
      <c r="G395" s="22">
        <v>6.1</v>
      </c>
      <c r="H395" s="22" t="s">
        <v>21</v>
      </c>
      <c r="I395" s="22" t="s">
        <v>14</v>
      </c>
      <c r="J395" s="22">
        <v>4.8</v>
      </c>
    </row>
    <row r="396" spans="1:10" x14ac:dyDescent="0.25">
      <c r="A396" s="22" t="s">
        <v>19</v>
      </c>
      <c r="B396" s="22" t="s">
        <v>457</v>
      </c>
      <c r="C396" s="22">
        <v>670</v>
      </c>
      <c r="D396" s="22">
        <v>1024</v>
      </c>
      <c r="E396" s="22">
        <v>48</v>
      </c>
      <c r="F396" s="22">
        <v>5500</v>
      </c>
      <c r="G396" s="22">
        <v>5.7</v>
      </c>
      <c r="H396" s="22" t="s">
        <v>21</v>
      </c>
      <c r="I396" s="22" t="s">
        <v>14</v>
      </c>
      <c r="J396" s="22">
        <v>4.9000000000000004</v>
      </c>
    </row>
    <row r="397" spans="1:10" x14ac:dyDescent="0.25">
      <c r="A397" s="22" t="s">
        <v>16</v>
      </c>
      <c r="B397" s="22" t="s">
        <v>458</v>
      </c>
      <c r="C397" s="22">
        <v>672</v>
      </c>
      <c r="D397" s="22">
        <v>512</v>
      </c>
      <c r="E397" s="22">
        <v>12</v>
      </c>
      <c r="F397" s="22">
        <v>6000</v>
      </c>
      <c r="G397" s="22">
        <v>6</v>
      </c>
      <c r="H397" s="22" t="s">
        <v>13</v>
      </c>
      <c r="I397" s="22" t="s">
        <v>14</v>
      </c>
      <c r="J397" s="22">
        <v>3.7</v>
      </c>
    </row>
    <row r="398" spans="1:10" x14ac:dyDescent="0.25">
      <c r="A398" s="22" t="s">
        <v>33</v>
      </c>
      <c r="B398" s="22" t="s">
        <v>459</v>
      </c>
      <c r="C398" s="22">
        <v>674</v>
      </c>
      <c r="D398" s="22">
        <v>128</v>
      </c>
      <c r="E398" s="22">
        <v>48</v>
      </c>
      <c r="F398" s="22">
        <v>4000</v>
      </c>
      <c r="G398" s="22">
        <v>5.7</v>
      </c>
      <c r="H398" s="22" t="s">
        <v>13</v>
      </c>
      <c r="I398" s="22" t="s">
        <v>14</v>
      </c>
      <c r="J398" s="22">
        <v>4.5</v>
      </c>
    </row>
    <row r="399" spans="1:10" x14ac:dyDescent="0.25">
      <c r="A399" s="22" t="s">
        <v>47</v>
      </c>
      <c r="B399" s="22" t="s">
        <v>460</v>
      </c>
      <c r="C399" s="22">
        <v>679</v>
      </c>
      <c r="D399" s="22">
        <v>128</v>
      </c>
      <c r="E399" s="22">
        <v>64</v>
      </c>
      <c r="F399" s="22">
        <v>5500</v>
      </c>
      <c r="G399" s="22">
        <v>6.3</v>
      </c>
      <c r="H399" s="22" t="s">
        <v>13</v>
      </c>
      <c r="I399" s="22" t="s">
        <v>14</v>
      </c>
      <c r="J399" s="22">
        <v>3.6</v>
      </c>
    </row>
    <row r="400" spans="1:10" x14ac:dyDescent="0.25">
      <c r="A400" s="22" t="s">
        <v>16</v>
      </c>
      <c r="B400" s="22" t="s">
        <v>461</v>
      </c>
      <c r="C400" s="22">
        <v>681</v>
      </c>
      <c r="D400" s="22">
        <v>1024</v>
      </c>
      <c r="E400" s="22">
        <v>200</v>
      </c>
      <c r="F400" s="22">
        <v>5500</v>
      </c>
      <c r="G400" s="22">
        <v>6.7</v>
      </c>
      <c r="H400" s="22" t="s">
        <v>21</v>
      </c>
      <c r="I400" s="22" t="s">
        <v>14</v>
      </c>
      <c r="J400" s="22">
        <v>3.6</v>
      </c>
    </row>
    <row r="401" spans="1:10" x14ac:dyDescent="0.25">
      <c r="A401" s="22" t="s">
        <v>16</v>
      </c>
      <c r="B401" s="22" t="s">
        <v>462</v>
      </c>
      <c r="C401" s="22">
        <v>682</v>
      </c>
      <c r="D401" s="22">
        <v>128</v>
      </c>
      <c r="E401" s="22">
        <v>108</v>
      </c>
      <c r="F401" s="22">
        <v>5000</v>
      </c>
      <c r="G401" s="22">
        <v>7.2</v>
      </c>
      <c r="H401" s="22" t="s">
        <v>21</v>
      </c>
      <c r="I401" s="22" t="s">
        <v>14</v>
      </c>
      <c r="J401" s="22">
        <v>3.8</v>
      </c>
    </row>
    <row r="402" spans="1:10" x14ac:dyDescent="0.25">
      <c r="A402" s="22" t="s">
        <v>52</v>
      </c>
      <c r="B402" s="22" t="s">
        <v>463</v>
      </c>
      <c r="C402" s="22">
        <v>684</v>
      </c>
      <c r="D402" s="22">
        <v>256</v>
      </c>
      <c r="E402" s="22">
        <v>64</v>
      </c>
      <c r="F402" s="22">
        <v>5000</v>
      </c>
      <c r="G402" s="22">
        <v>7.2</v>
      </c>
      <c r="H402" s="22" t="s">
        <v>13</v>
      </c>
      <c r="I402" s="22" t="s">
        <v>14</v>
      </c>
      <c r="J402" s="22">
        <v>4.2</v>
      </c>
    </row>
    <row r="403" spans="1:10" x14ac:dyDescent="0.25">
      <c r="A403" s="22" t="s">
        <v>24</v>
      </c>
      <c r="B403" s="22" t="s">
        <v>464</v>
      </c>
      <c r="C403" s="22">
        <v>688</v>
      </c>
      <c r="D403" s="22">
        <v>256</v>
      </c>
      <c r="E403" s="22">
        <v>64</v>
      </c>
      <c r="F403" s="22">
        <v>5000</v>
      </c>
      <c r="G403" s="22">
        <v>5.7</v>
      </c>
      <c r="H403" s="22" t="s">
        <v>21</v>
      </c>
      <c r="I403" s="22" t="s">
        <v>14</v>
      </c>
      <c r="J403" s="22">
        <v>3.7</v>
      </c>
    </row>
    <row r="404" spans="1:10" x14ac:dyDescent="0.25">
      <c r="A404" s="22" t="s">
        <v>24</v>
      </c>
      <c r="B404" s="22" t="s">
        <v>465</v>
      </c>
      <c r="C404" s="22">
        <v>689</v>
      </c>
      <c r="D404" s="22">
        <v>128</v>
      </c>
      <c r="E404" s="22">
        <v>64</v>
      </c>
      <c r="F404" s="22">
        <v>6000</v>
      </c>
      <c r="G404" s="22">
        <v>5.6</v>
      </c>
      <c r="H404" s="22" t="s">
        <v>21</v>
      </c>
      <c r="I404" s="22" t="s">
        <v>14</v>
      </c>
      <c r="J404" s="22">
        <v>3.8</v>
      </c>
    </row>
    <row r="405" spans="1:10" x14ac:dyDescent="0.25">
      <c r="A405" s="22" t="s">
        <v>16</v>
      </c>
      <c r="B405" s="22" t="s">
        <v>466</v>
      </c>
      <c r="C405" s="22">
        <v>691</v>
      </c>
      <c r="D405" s="22">
        <v>1024</v>
      </c>
      <c r="E405" s="22">
        <v>200</v>
      </c>
      <c r="F405" s="22">
        <v>6000</v>
      </c>
      <c r="G405" s="22">
        <v>6.7</v>
      </c>
      <c r="H405" s="22" t="s">
        <v>21</v>
      </c>
      <c r="I405" s="22" t="s">
        <v>14</v>
      </c>
      <c r="J405" s="22">
        <v>5</v>
      </c>
    </row>
    <row r="406" spans="1:10" x14ac:dyDescent="0.25">
      <c r="A406" s="22" t="s">
        <v>16</v>
      </c>
      <c r="B406" s="22" t="s">
        <v>467</v>
      </c>
      <c r="C406" s="22">
        <v>691</v>
      </c>
      <c r="D406" s="22">
        <v>1024</v>
      </c>
      <c r="E406" s="22">
        <v>48</v>
      </c>
      <c r="F406" s="22">
        <v>6000</v>
      </c>
      <c r="G406" s="22">
        <v>5.6</v>
      </c>
      <c r="H406" s="22" t="s">
        <v>21</v>
      </c>
      <c r="I406" s="22" t="s">
        <v>14</v>
      </c>
      <c r="J406" s="22">
        <v>4.5</v>
      </c>
    </row>
    <row r="407" spans="1:10" x14ac:dyDescent="0.25">
      <c r="A407" s="22" t="s">
        <v>91</v>
      </c>
      <c r="B407" s="22" t="s">
        <v>468</v>
      </c>
      <c r="C407" s="22">
        <v>693</v>
      </c>
      <c r="D407" s="22">
        <v>64</v>
      </c>
      <c r="E407" s="22">
        <v>108</v>
      </c>
      <c r="F407" s="22">
        <v>5000</v>
      </c>
      <c r="G407" s="22">
        <v>5.5</v>
      </c>
      <c r="H407" s="22" t="s">
        <v>13</v>
      </c>
      <c r="I407" s="22" t="s">
        <v>14</v>
      </c>
      <c r="J407" s="22">
        <v>4</v>
      </c>
    </row>
    <row r="408" spans="1:10" x14ac:dyDescent="0.25">
      <c r="A408" s="22" t="s">
        <v>16</v>
      </c>
      <c r="B408" s="22" t="s">
        <v>469</v>
      </c>
      <c r="C408" s="22">
        <v>695</v>
      </c>
      <c r="D408" s="22">
        <v>256</v>
      </c>
      <c r="E408" s="22">
        <v>50</v>
      </c>
      <c r="F408" s="22">
        <v>5000</v>
      </c>
      <c r="G408" s="22">
        <v>6.4</v>
      </c>
      <c r="H408" s="22" t="s">
        <v>13</v>
      </c>
      <c r="I408" s="22" t="s">
        <v>14</v>
      </c>
      <c r="J408" s="22">
        <v>4.8</v>
      </c>
    </row>
    <row r="409" spans="1:10" x14ac:dyDescent="0.25">
      <c r="A409" s="22" t="s">
        <v>47</v>
      </c>
      <c r="B409" s="22" t="s">
        <v>470</v>
      </c>
      <c r="C409" s="22">
        <v>698</v>
      </c>
      <c r="D409" s="22">
        <v>1024</v>
      </c>
      <c r="E409" s="22">
        <v>50</v>
      </c>
      <c r="F409" s="22">
        <v>4000</v>
      </c>
      <c r="G409" s="22">
        <v>5.8</v>
      </c>
      <c r="H409" s="22" t="s">
        <v>13</v>
      </c>
      <c r="I409" s="22" t="s">
        <v>14</v>
      </c>
      <c r="J409" s="22">
        <v>4.8</v>
      </c>
    </row>
    <row r="410" spans="1:10" x14ac:dyDescent="0.25">
      <c r="A410" s="22" t="s">
        <v>33</v>
      </c>
      <c r="B410" s="22" t="s">
        <v>471</v>
      </c>
      <c r="C410" s="22">
        <v>699</v>
      </c>
      <c r="D410" s="22">
        <v>64</v>
      </c>
      <c r="E410" s="22">
        <v>200</v>
      </c>
      <c r="F410" s="22">
        <v>5500</v>
      </c>
      <c r="G410" s="22">
        <v>7.1</v>
      </c>
      <c r="H410" s="22" t="s">
        <v>21</v>
      </c>
      <c r="I410" s="22" t="s">
        <v>14</v>
      </c>
      <c r="J410" s="22">
        <v>4.8</v>
      </c>
    </row>
    <row r="411" spans="1:10" x14ac:dyDescent="0.25">
      <c r="A411" s="22" t="s">
        <v>91</v>
      </c>
      <c r="B411" s="22" t="s">
        <v>472</v>
      </c>
      <c r="C411" s="22">
        <v>699</v>
      </c>
      <c r="D411" s="22">
        <v>512</v>
      </c>
      <c r="E411" s="22">
        <v>50</v>
      </c>
      <c r="F411" s="22">
        <v>4500</v>
      </c>
      <c r="G411" s="22">
        <v>5.9</v>
      </c>
      <c r="H411" s="22" t="s">
        <v>21</v>
      </c>
      <c r="I411" s="22" t="s">
        <v>14</v>
      </c>
      <c r="J411" s="22">
        <v>4.8</v>
      </c>
    </row>
    <row r="412" spans="1:10" x14ac:dyDescent="0.25">
      <c r="A412" s="22" t="s">
        <v>47</v>
      </c>
      <c r="B412" s="22" t="s">
        <v>473</v>
      </c>
      <c r="C412" s="22">
        <v>701</v>
      </c>
      <c r="D412" s="22">
        <v>1024</v>
      </c>
      <c r="E412" s="22">
        <v>200</v>
      </c>
      <c r="F412" s="22">
        <v>5000</v>
      </c>
      <c r="G412" s="22">
        <v>6</v>
      </c>
      <c r="H412" s="22" t="s">
        <v>13</v>
      </c>
      <c r="I412" s="22" t="s">
        <v>14</v>
      </c>
      <c r="J412" s="22">
        <v>3.8</v>
      </c>
    </row>
    <row r="413" spans="1:10" x14ac:dyDescent="0.25">
      <c r="A413" s="22" t="s">
        <v>33</v>
      </c>
      <c r="B413" s="22" t="s">
        <v>474</v>
      </c>
      <c r="C413" s="22">
        <v>701</v>
      </c>
      <c r="D413" s="22">
        <v>128</v>
      </c>
      <c r="E413" s="22">
        <v>108</v>
      </c>
      <c r="F413" s="22">
        <v>4000</v>
      </c>
      <c r="G413" s="22">
        <v>6.4</v>
      </c>
      <c r="H413" s="22" t="s">
        <v>13</v>
      </c>
      <c r="I413" s="22" t="s">
        <v>14</v>
      </c>
      <c r="J413" s="22">
        <v>4.2</v>
      </c>
    </row>
    <row r="414" spans="1:10" x14ac:dyDescent="0.25">
      <c r="A414" s="22" t="s">
        <v>47</v>
      </c>
      <c r="B414" s="22" t="s">
        <v>475</v>
      </c>
      <c r="C414" s="22">
        <v>702</v>
      </c>
      <c r="D414" s="22">
        <v>64</v>
      </c>
      <c r="E414" s="22">
        <v>108</v>
      </c>
      <c r="F414" s="22">
        <v>5000</v>
      </c>
      <c r="G414" s="22">
        <v>5.7</v>
      </c>
      <c r="H414" s="22" t="s">
        <v>13</v>
      </c>
      <c r="I414" s="22" t="s">
        <v>14</v>
      </c>
      <c r="J414" s="22">
        <v>4.5</v>
      </c>
    </row>
    <row r="415" spans="1:10" x14ac:dyDescent="0.25">
      <c r="A415" s="22" t="s">
        <v>58</v>
      </c>
      <c r="B415" s="22" t="s">
        <v>476</v>
      </c>
      <c r="C415" s="22">
        <v>703</v>
      </c>
      <c r="D415" s="22">
        <v>64</v>
      </c>
      <c r="E415" s="22">
        <v>200</v>
      </c>
      <c r="F415" s="22">
        <v>5500</v>
      </c>
      <c r="G415" s="22">
        <v>5.6</v>
      </c>
      <c r="H415" s="22" t="s">
        <v>21</v>
      </c>
      <c r="I415" s="22" t="s">
        <v>60</v>
      </c>
      <c r="J415" s="22">
        <v>4.7</v>
      </c>
    </row>
    <row r="416" spans="1:10" x14ac:dyDescent="0.25">
      <c r="A416" s="22" t="s">
        <v>47</v>
      </c>
      <c r="B416" s="22" t="s">
        <v>477</v>
      </c>
      <c r="C416" s="22">
        <v>706</v>
      </c>
      <c r="D416" s="22">
        <v>1024</v>
      </c>
      <c r="E416" s="22">
        <v>50</v>
      </c>
      <c r="F416" s="22">
        <v>4000</v>
      </c>
      <c r="G416" s="22">
        <v>5.7</v>
      </c>
      <c r="H416" s="22" t="s">
        <v>21</v>
      </c>
      <c r="I416" s="22" t="s">
        <v>14</v>
      </c>
      <c r="J416" s="22">
        <v>3.9</v>
      </c>
    </row>
    <row r="417" spans="1:10" x14ac:dyDescent="0.25">
      <c r="A417" s="22" t="s">
        <v>58</v>
      </c>
      <c r="B417" s="22" t="s">
        <v>478</v>
      </c>
      <c r="C417" s="22">
        <v>706</v>
      </c>
      <c r="D417" s="22">
        <v>1024</v>
      </c>
      <c r="E417" s="22">
        <v>64</v>
      </c>
      <c r="F417" s="22">
        <v>4000</v>
      </c>
      <c r="G417" s="22">
        <v>7.1</v>
      </c>
      <c r="H417" s="22" t="s">
        <v>13</v>
      </c>
      <c r="I417" s="22" t="s">
        <v>60</v>
      </c>
      <c r="J417" s="22">
        <v>4.5</v>
      </c>
    </row>
    <row r="418" spans="1:10" x14ac:dyDescent="0.25">
      <c r="A418" s="22" t="s">
        <v>52</v>
      </c>
      <c r="B418" s="22" t="s">
        <v>479</v>
      </c>
      <c r="C418" s="22">
        <v>707</v>
      </c>
      <c r="D418" s="22">
        <v>64</v>
      </c>
      <c r="E418" s="22">
        <v>200</v>
      </c>
      <c r="F418" s="22">
        <v>5000</v>
      </c>
      <c r="G418" s="22">
        <v>6.9</v>
      </c>
      <c r="H418" s="22" t="s">
        <v>21</v>
      </c>
      <c r="I418" s="22" t="s">
        <v>14</v>
      </c>
      <c r="J418" s="22">
        <v>4.8</v>
      </c>
    </row>
    <row r="419" spans="1:10" x14ac:dyDescent="0.25">
      <c r="A419" s="22" t="s">
        <v>52</v>
      </c>
      <c r="B419" s="22" t="s">
        <v>480</v>
      </c>
      <c r="C419" s="22">
        <v>709</v>
      </c>
      <c r="D419" s="22">
        <v>512</v>
      </c>
      <c r="E419" s="22">
        <v>108</v>
      </c>
      <c r="F419" s="22">
        <v>5000</v>
      </c>
      <c r="G419" s="22">
        <v>5.7</v>
      </c>
      <c r="H419" s="22" t="s">
        <v>21</v>
      </c>
      <c r="I419" s="22" t="s">
        <v>14</v>
      </c>
      <c r="J419" s="22">
        <v>3.6</v>
      </c>
    </row>
    <row r="420" spans="1:10" x14ac:dyDescent="0.25">
      <c r="A420" s="22" t="s">
        <v>16</v>
      </c>
      <c r="B420" s="22" t="s">
        <v>481</v>
      </c>
      <c r="C420" s="22">
        <v>711</v>
      </c>
      <c r="D420" s="22">
        <v>1024</v>
      </c>
      <c r="E420" s="22">
        <v>200</v>
      </c>
      <c r="F420" s="22">
        <v>4500</v>
      </c>
      <c r="G420" s="22">
        <v>6.6</v>
      </c>
      <c r="H420" s="22" t="s">
        <v>21</v>
      </c>
      <c r="I420" s="22" t="s">
        <v>14</v>
      </c>
      <c r="J420" s="22">
        <v>4.8</v>
      </c>
    </row>
    <row r="421" spans="1:10" x14ac:dyDescent="0.25">
      <c r="A421" s="22" t="s">
        <v>11</v>
      </c>
      <c r="B421" s="22" t="s">
        <v>122</v>
      </c>
      <c r="C421" s="22">
        <v>714</v>
      </c>
      <c r="D421" s="22">
        <v>128</v>
      </c>
      <c r="E421" s="22">
        <v>50</v>
      </c>
      <c r="F421" s="22">
        <v>4000</v>
      </c>
      <c r="G421" s="22">
        <v>5.5</v>
      </c>
      <c r="H421" s="22" t="s">
        <v>13</v>
      </c>
      <c r="I421" s="22" t="s">
        <v>14</v>
      </c>
      <c r="J421" s="22">
        <v>4.4000000000000004</v>
      </c>
    </row>
    <row r="422" spans="1:10" x14ac:dyDescent="0.25">
      <c r="A422" s="22" t="s">
        <v>58</v>
      </c>
      <c r="B422" s="22" t="s">
        <v>482</v>
      </c>
      <c r="C422" s="22">
        <v>715</v>
      </c>
      <c r="D422" s="22">
        <v>1024</v>
      </c>
      <c r="E422" s="22">
        <v>64</v>
      </c>
      <c r="F422" s="22">
        <v>4000</v>
      </c>
      <c r="G422" s="22">
        <v>5.9</v>
      </c>
      <c r="H422" s="22" t="s">
        <v>21</v>
      </c>
      <c r="I422" s="22" t="s">
        <v>60</v>
      </c>
      <c r="J422" s="22">
        <v>3.6</v>
      </c>
    </row>
    <row r="423" spans="1:10" x14ac:dyDescent="0.25">
      <c r="A423" s="22" t="s">
        <v>58</v>
      </c>
      <c r="B423" s="22" t="s">
        <v>483</v>
      </c>
      <c r="C423" s="22">
        <v>715</v>
      </c>
      <c r="D423" s="22">
        <v>128</v>
      </c>
      <c r="E423" s="22">
        <v>200</v>
      </c>
      <c r="F423" s="22">
        <v>4000</v>
      </c>
      <c r="G423" s="22">
        <v>6.1</v>
      </c>
      <c r="H423" s="22" t="s">
        <v>21</v>
      </c>
      <c r="I423" s="22" t="s">
        <v>60</v>
      </c>
      <c r="J423" s="22">
        <v>4.9000000000000004</v>
      </c>
    </row>
    <row r="424" spans="1:10" x14ac:dyDescent="0.25">
      <c r="A424" s="22" t="s">
        <v>16</v>
      </c>
      <c r="B424" s="22" t="s">
        <v>484</v>
      </c>
      <c r="C424" s="22">
        <v>717</v>
      </c>
      <c r="D424" s="22">
        <v>256</v>
      </c>
      <c r="E424" s="22">
        <v>64</v>
      </c>
      <c r="F424" s="22">
        <v>4000</v>
      </c>
      <c r="G424" s="22">
        <v>6</v>
      </c>
      <c r="H424" s="22" t="s">
        <v>21</v>
      </c>
      <c r="I424" s="22" t="s">
        <v>14</v>
      </c>
      <c r="J424" s="22">
        <v>3.9</v>
      </c>
    </row>
    <row r="425" spans="1:10" x14ac:dyDescent="0.25">
      <c r="A425" s="22" t="s">
        <v>91</v>
      </c>
      <c r="B425" s="22" t="s">
        <v>485</v>
      </c>
      <c r="C425" s="22">
        <v>718</v>
      </c>
      <c r="D425" s="22">
        <v>256</v>
      </c>
      <c r="E425" s="22">
        <v>200</v>
      </c>
      <c r="F425" s="22">
        <v>4000</v>
      </c>
      <c r="G425" s="22">
        <v>5.5</v>
      </c>
      <c r="H425" s="22" t="s">
        <v>13</v>
      </c>
      <c r="I425" s="22" t="s">
        <v>14</v>
      </c>
      <c r="J425" s="22">
        <v>3.7</v>
      </c>
    </row>
    <row r="426" spans="1:10" x14ac:dyDescent="0.25">
      <c r="A426" s="22" t="s">
        <v>16</v>
      </c>
      <c r="B426" s="22" t="s">
        <v>486</v>
      </c>
      <c r="C426" s="22">
        <v>718</v>
      </c>
      <c r="D426" s="22">
        <v>64</v>
      </c>
      <c r="E426" s="22">
        <v>64</v>
      </c>
      <c r="F426" s="22">
        <v>6000</v>
      </c>
      <c r="G426" s="22">
        <v>5.6</v>
      </c>
      <c r="H426" s="22" t="s">
        <v>21</v>
      </c>
      <c r="I426" s="22" t="s">
        <v>14</v>
      </c>
      <c r="J426" s="22">
        <v>4</v>
      </c>
    </row>
    <row r="427" spans="1:10" x14ac:dyDescent="0.25">
      <c r="A427" s="22" t="s">
        <v>52</v>
      </c>
      <c r="B427" s="22" t="s">
        <v>487</v>
      </c>
      <c r="C427" s="22">
        <v>718</v>
      </c>
      <c r="D427" s="22">
        <v>64</v>
      </c>
      <c r="E427" s="22">
        <v>50</v>
      </c>
      <c r="F427" s="22">
        <v>4000</v>
      </c>
      <c r="G427" s="22">
        <v>7.1</v>
      </c>
      <c r="H427" s="22" t="s">
        <v>13</v>
      </c>
      <c r="I427" s="22" t="s">
        <v>14</v>
      </c>
      <c r="J427" s="22">
        <v>4.5</v>
      </c>
    </row>
    <row r="428" spans="1:10" x14ac:dyDescent="0.25">
      <c r="A428" s="22" t="s">
        <v>47</v>
      </c>
      <c r="B428" s="22" t="s">
        <v>488</v>
      </c>
      <c r="C428" s="22">
        <v>721</v>
      </c>
      <c r="D428" s="22">
        <v>256</v>
      </c>
      <c r="E428" s="22">
        <v>12</v>
      </c>
      <c r="F428" s="22">
        <v>4000</v>
      </c>
      <c r="G428" s="22">
        <v>6.8</v>
      </c>
      <c r="H428" s="22" t="s">
        <v>21</v>
      </c>
      <c r="I428" s="22" t="s">
        <v>14</v>
      </c>
      <c r="J428" s="22">
        <v>4.0999999999999996</v>
      </c>
    </row>
    <row r="429" spans="1:10" x14ac:dyDescent="0.25">
      <c r="A429" s="22" t="s">
        <v>19</v>
      </c>
      <c r="B429" s="22" t="s">
        <v>489</v>
      </c>
      <c r="C429" s="22">
        <v>723</v>
      </c>
      <c r="D429" s="22">
        <v>1024</v>
      </c>
      <c r="E429" s="22">
        <v>12</v>
      </c>
      <c r="F429" s="22">
        <v>4000</v>
      </c>
      <c r="G429" s="22">
        <v>6.7</v>
      </c>
      <c r="H429" s="22" t="s">
        <v>13</v>
      </c>
      <c r="I429" s="22" t="s">
        <v>14</v>
      </c>
      <c r="J429" s="22">
        <v>3.7</v>
      </c>
    </row>
    <row r="430" spans="1:10" x14ac:dyDescent="0.25">
      <c r="A430" s="22" t="s">
        <v>11</v>
      </c>
      <c r="B430" s="22" t="s">
        <v>490</v>
      </c>
      <c r="C430" s="22">
        <v>723</v>
      </c>
      <c r="D430" s="22">
        <v>128</v>
      </c>
      <c r="E430" s="22">
        <v>200</v>
      </c>
      <c r="F430" s="22">
        <v>4500</v>
      </c>
      <c r="G430" s="22">
        <v>6.7</v>
      </c>
      <c r="H430" s="22" t="s">
        <v>13</v>
      </c>
      <c r="I430" s="22" t="s">
        <v>14</v>
      </c>
      <c r="J430" s="22">
        <v>3.9</v>
      </c>
    </row>
    <row r="431" spans="1:10" x14ac:dyDescent="0.25">
      <c r="A431" s="22" t="s">
        <v>47</v>
      </c>
      <c r="B431" s="22" t="s">
        <v>491</v>
      </c>
      <c r="C431" s="22">
        <v>724</v>
      </c>
      <c r="D431" s="22">
        <v>128</v>
      </c>
      <c r="E431" s="22">
        <v>64</v>
      </c>
      <c r="F431" s="22">
        <v>5000</v>
      </c>
      <c r="G431" s="22">
        <v>5.7</v>
      </c>
      <c r="H431" s="22" t="s">
        <v>13</v>
      </c>
      <c r="I431" s="22" t="s">
        <v>14</v>
      </c>
      <c r="J431" s="22">
        <v>3.6</v>
      </c>
    </row>
    <row r="432" spans="1:10" x14ac:dyDescent="0.25">
      <c r="A432" s="22" t="s">
        <v>47</v>
      </c>
      <c r="B432" s="22" t="s">
        <v>492</v>
      </c>
      <c r="C432" s="22">
        <v>724</v>
      </c>
      <c r="D432" s="22">
        <v>256</v>
      </c>
      <c r="E432" s="22">
        <v>64</v>
      </c>
      <c r="F432" s="22">
        <v>4500</v>
      </c>
      <c r="G432" s="22">
        <v>6.5</v>
      </c>
      <c r="H432" s="22" t="s">
        <v>21</v>
      </c>
      <c r="I432" s="22" t="s">
        <v>14</v>
      </c>
      <c r="J432" s="22">
        <v>3.9</v>
      </c>
    </row>
    <row r="433" spans="1:10" x14ac:dyDescent="0.25">
      <c r="A433" s="22" t="s">
        <v>24</v>
      </c>
      <c r="B433" s="22" t="s">
        <v>493</v>
      </c>
      <c r="C433" s="22">
        <v>724</v>
      </c>
      <c r="D433" s="22">
        <v>256</v>
      </c>
      <c r="E433" s="22">
        <v>50</v>
      </c>
      <c r="F433" s="22">
        <v>4000</v>
      </c>
      <c r="G433" s="22">
        <v>7.1</v>
      </c>
      <c r="H433" s="22" t="s">
        <v>13</v>
      </c>
      <c r="I433" s="22" t="s">
        <v>14</v>
      </c>
      <c r="J433" s="22">
        <v>3.9</v>
      </c>
    </row>
    <row r="434" spans="1:10" x14ac:dyDescent="0.25">
      <c r="A434" s="22" t="s">
        <v>52</v>
      </c>
      <c r="B434" s="22" t="s">
        <v>494</v>
      </c>
      <c r="C434" s="22">
        <v>726</v>
      </c>
      <c r="D434" s="22">
        <v>64</v>
      </c>
      <c r="E434" s="22">
        <v>48</v>
      </c>
      <c r="F434" s="22">
        <v>5500</v>
      </c>
      <c r="G434" s="22">
        <v>6.6</v>
      </c>
      <c r="H434" s="22" t="s">
        <v>13</v>
      </c>
      <c r="I434" s="22" t="s">
        <v>14</v>
      </c>
      <c r="J434" s="22">
        <v>3.8</v>
      </c>
    </row>
    <row r="435" spans="1:10" x14ac:dyDescent="0.25">
      <c r="A435" s="22" t="s">
        <v>58</v>
      </c>
      <c r="B435" s="22" t="s">
        <v>495</v>
      </c>
      <c r="C435" s="22">
        <v>727</v>
      </c>
      <c r="D435" s="22">
        <v>64</v>
      </c>
      <c r="E435" s="22">
        <v>50</v>
      </c>
      <c r="F435" s="22">
        <v>4500</v>
      </c>
      <c r="G435" s="22">
        <v>7.2</v>
      </c>
      <c r="H435" s="22" t="s">
        <v>13</v>
      </c>
      <c r="I435" s="22" t="s">
        <v>60</v>
      </c>
      <c r="J435" s="22">
        <v>4.0999999999999996</v>
      </c>
    </row>
    <row r="436" spans="1:10" x14ac:dyDescent="0.25">
      <c r="A436" s="22" t="s">
        <v>58</v>
      </c>
      <c r="B436" s="22" t="s">
        <v>496</v>
      </c>
      <c r="C436" s="22">
        <v>727</v>
      </c>
      <c r="D436" s="22">
        <v>512</v>
      </c>
      <c r="E436" s="22">
        <v>64</v>
      </c>
      <c r="F436" s="22">
        <v>5000</v>
      </c>
      <c r="G436" s="22">
        <v>6.9</v>
      </c>
      <c r="H436" s="22" t="s">
        <v>13</v>
      </c>
      <c r="I436" s="22" t="s">
        <v>60</v>
      </c>
      <c r="J436" s="22">
        <v>3.8</v>
      </c>
    </row>
    <row r="437" spans="1:10" x14ac:dyDescent="0.25">
      <c r="A437" s="22" t="s">
        <v>47</v>
      </c>
      <c r="B437" s="22" t="s">
        <v>497</v>
      </c>
      <c r="C437" s="22">
        <v>727</v>
      </c>
      <c r="D437" s="22">
        <v>1024</v>
      </c>
      <c r="E437" s="22">
        <v>108</v>
      </c>
      <c r="F437" s="22">
        <v>4500</v>
      </c>
      <c r="G437" s="22">
        <v>6.3</v>
      </c>
      <c r="H437" s="22" t="s">
        <v>21</v>
      </c>
      <c r="I437" s="22" t="s">
        <v>14</v>
      </c>
      <c r="J437" s="22">
        <v>3.9</v>
      </c>
    </row>
    <row r="438" spans="1:10" x14ac:dyDescent="0.25">
      <c r="A438" s="22" t="s">
        <v>91</v>
      </c>
      <c r="B438" s="22" t="s">
        <v>498</v>
      </c>
      <c r="C438" s="22">
        <v>729</v>
      </c>
      <c r="D438" s="22">
        <v>128</v>
      </c>
      <c r="E438" s="22">
        <v>12</v>
      </c>
      <c r="F438" s="22">
        <v>5500</v>
      </c>
      <c r="G438" s="22">
        <v>7.1</v>
      </c>
      <c r="H438" s="22" t="s">
        <v>21</v>
      </c>
      <c r="I438" s="22" t="s">
        <v>14</v>
      </c>
      <c r="J438" s="22">
        <v>4.9000000000000004</v>
      </c>
    </row>
    <row r="439" spans="1:10" x14ac:dyDescent="0.25">
      <c r="A439" s="22" t="s">
        <v>16</v>
      </c>
      <c r="B439" s="22" t="s">
        <v>499</v>
      </c>
      <c r="C439" s="22">
        <v>730</v>
      </c>
      <c r="D439" s="22">
        <v>128</v>
      </c>
      <c r="E439" s="22">
        <v>108</v>
      </c>
      <c r="F439" s="22">
        <v>4000</v>
      </c>
      <c r="G439" s="22">
        <v>5.7</v>
      </c>
      <c r="H439" s="22" t="s">
        <v>13</v>
      </c>
      <c r="I439" s="22" t="s">
        <v>14</v>
      </c>
      <c r="J439" s="22">
        <v>3.9</v>
      </c>
    </row>
    <row r="440" spans="1:10" x14ac:dyDescent="0.25">
      <c r="A440" s="22" t="s">
        <v>47</v>
      </c>
      <c r="B440" s="22" t="s">
        <v>500</v>
      </c>
      <c r="C440" s="22">
        <v>731</v>
      </c>
      <c r="D440" s="22">
        <v>64</v>
      </c>
      <c r="E440" s="22">
        <v>12</v>
      </c>
      <c r="F440" s="22">
        <v>4000</v>
      </c>
      <c r="G440" s="22">
        <v>6.1</v>
      </c>
      <c r="H440" s="22" t="s">
        <v>21</v>
      </c>
      <c r="I440" s="22" t="s">
        <v>14</v>
      </c>
      <c r="J440" s="22">
        <v>4.2</v>
      </c>
    </row>
    <row r="441" spans="1:10" x14ac:dyDescent="0.25">
      <c r="A441" s="22" t="s">
        <v>58</v>
      </c>
      <c r="B441" s="22" t="s">
        <v>501</v>
      </c>
      <c r="C441" s="22">
        <v>731</v>
      </c>
      <c r="D441" s="22">
        <v>64</v>
      </c>
      <c r="E441" s="22">
        <v>64</v>
      </c>
      <c r="F441" s="22">
        <v>5500</v>
      </c>
      <c r="G441" s="22">
        <v>6.8</v>
      </c>
      <c r="H441" s="22" t="s">
        <v>13</v>
      </c>
      <c r="I441" s="22" t="s">
        <v>60</v>
      </c>
      <c r="J441" s="22">
        <v>4.5999999999999996</v>
      </c>
    </row>
    <row r="442" spans="1:10" x14ac:dyDescent="0.25">
      <c r="A442" s="22" t="s">
        <v>24</v>
      </c>
      <c r="B442" s="22" t="s">
        <v>502</v>
      </c>
      <c r="C442" s="22">
        <v>732</v>
      </c>
      <c r="D442" s="22">
        <v>64</v>
      </c>
      <c r="E442" s="22">
        <v>108</v>
      </c>
      <c r="F442" s="22">
        <v>4000</v>
      </c>
      <c r="G442" s="22">
        <v>5.6</v>
      </c>
      <c r="H442" s="22" t="s">
        <v>21</v>
      </c>
      <c r="I442" s="22" t="s">
        <v>14</v>
      </c>
      <c r="J442" s="22">
        <v>4.5</v>
      </c>
    </row>
    <row r="443" spans="1:10" x14ac:dyDescent="0.25">
      <c r="A443" s="22" t="s">
        <v>33</v>
      </c>
      <c r="B443" s="22" t="s">
        <v>503</v>
      </c>
      <c r="C443" s="22">
        <v>732</v>
      </c>
      <c r="D443" s="22">
        <v>64</v>
      </c>
      <c r="E443" s="22">
        <v>50</v>
      </c>
      <c r="F443" s="22">
        <v>6000</v>
      </c>
      <c r="G443" s="22">
        <v>7.1</v>
      </c>
      <c r="H443" s="22" t="s">
        <v>21</v>
      </c>
      <c r="I443" s="22" t="s">
        <v>14</v>
      </c>
      <c r="J443" s="22">
        <v>4.9000000000000004</v>
      </c>
    </row>
    <row r="444" spans="1:10" x14ac:dyDescent="0.25">
      <c r="A444" s="22" t="s">
        <v>58</v>
      </c>
      <c r="B444" s="22" t="s">
        <v>504</v>
      </c>
      <c r="C444" s="22">
        <v>736</v>
      </c>
      <c r="D444" s="22">
        <v>128</v>
      </c>
      <c r="E444" s="22">
        <v>64</v>
      </c>
      <c r="F444" s="22">
        <v>6000</v>
      </c>
      <c r="G444" s="22">
        <v>7.1</v>
      </c>
      <c r="H444" s="22" t="s">
        <v>21</v>
      </c>
      <c r="I444" s="22" t="s">
        <v>60</v>
      </c>
      <c r="J444" s="22">
        <v>3.7</v>
      </c>
    </row>
    <row r="445" spans="1:10" x14ac:dyDescent="0.25">
      <c r="A445" s="22" t="s">
        <v>24</v>
      </c>
      <c r="B445" s="22" t="s">
        <v>505</v>
      </c>
      <c r="C445" s="22">
        <v>736</v>
      </c>
      <c r="D445" s="22">
        <v>256</v>
      </c>
      <c r="E445" s="22">
        <v>50</v>
      </c>
      <c r="F445" s="22">
        <v>6000</v>
      </c>
      <c r="G445" s="22">
        <v>6</v>
      </c>
      <c r="H445" s="22" t="s">
        <v>13</v>
      </c>
      <c r="I445" s="22" t="s">
        <v>14</v>
      </c>
      <c r="J445" s="22">
        <v>4.9000000000000004</v>
      </c>
    </row>
    <row r="446" spans="1:10" x14ac:dyDescent="0.25">
      <c r="A446" s="22" t="s">
        <v>24</v>
      </c>
      <c r="B446" s="22" t="s">
        <v>506</v>
      </c>
      <c r="C446" s="22">
        <v>738</v>
      </c>
      <c r="D446" s="22">
        <v>512</v>
      </c>
      <c r="E446" s="22">
        <v>108</v>
      </c>
      <c r="F446" s="22">
        <v>5000</v>
      </c>
      <c r="G446" s="22">
        <v>6.8</v>
      </c>
      <c r="H446" s="22" t="s">
        <v>13</v>
      </c>
      <c r="I446" s="22" t="s">
        <v>14</v>
      </c>
      <c r="J446" s="22">
        <v>4.5</v>
      </c>
    </row>
    <row r="447" spans="1:10" x14ac:dyDescent="0.25">
      <c r="A447" s="22" t="s">
        <v>11</v>
      </c>
      <c r="B447" s="22" t="s">
        <v>507</v>
      </c>
      <c r="C447" s="22">
        <v>738</v>
      </c>
      <c r="D447" s="22">
        <v>128</v>
      </c>
      <c r="E447" s="22">
        <v>12</v>
      </c>
      <c r="F447" s="22">
        <v>4500</v>
      </c>
      <c r="G447" s="22">
        <v>6.4</v>
      </c>
      <c r="H447" s="22" t="s">
        <v>21</v>
      </c>
      <c r="I447" s="22" t="s">
        <v>14</v>
      </c>
      <c r="J447" s="22">
        <v>4</v>
      </c>
    </row>
    <row r="448" spans="1:10" x14ac:dyDescent="0.25">
      <c r="A448" s="22" t="s">
        <v>24</v>
      </c>
      <c r="B448" s="22" t="s">
        <v>508</v>
      </c>
      <c r="C448" s="22">
        <v>743</v>
      </c>
      <c r="D448" s="22">
        <v>128</v>
      </c>
      <c r="E448" s="22">
        <v>50</v>
      </c>
      <c r="F448" s="22">
        <v>4500</v>
      </c>
      <c r="G448" s="22">
        <v>6</v>
      </c>
      <c r="H448" s="22" t="s">
        <v>21</v>
      </c>
      <c r="I448" s="22" t="s">
        <v>14</v>
      </c>
      <c r="J448" s="22">
        <v>4.7</v>
      </c>
    </row>
    <row r="449" spans="1:10" x14ac:dyDescent="0.25">
      <c r="A449" s="22" t="s">
        <v>91</v>
      </c>
      <c r="B449" s="22" t="s">
        <v>509</v>
      </c>
      <c r="C449" s="22">
        <v>748</v>
      </c>
      <c r="D449" s="22">
        <v>256</v>
      </c>
      <c r="E449" s="22">
        <v>50</v>
      </c>
      <c r="F449" s="22">
        <v>4000</v>
      </c>
      <c r="G449" s="22">
        <v>7</v>
      </c>
      <c r="H449" s="22" t="s">
        <v>13</v>
      </c>
      <c r="I449" s="22" t="s">
        <v>14</v>
      </c>
      <c r="J449" s="22">
        <v>4.5</v>
      </c>
    </row>
    <row r="450" spans="1:10" x14ac:dyDescent="0.25">
      <c r="A450" s="22" t="s">
        <v>11</v>
      </c>
      <c r="B450" s="22" t="s">
        <v>510</v>
      </c>
      <c r="C450" s="22">
        <v>752</v>
      </c>
      <c r="D450" s="22">
        <v>1024</v>
      </c>
      <c r="E450" s="22">
        <v>12</v>
      </c>
      <c r="F450" s="22">
        <v>5000</v>
      </c>
      <c r="G450" s="22">
        <v>6.6</v>
      </c>
      <c r="H450" s="22" t="s">
        <v>13</v>
      </c>
      <c r="I450" s="22" t="s">
        <v>14</v>
      </c>
      <c r="J450" s="22">
        <v>4.5</v>
      </c>
    </row>
    <row r="451" spans="1:10" x14ac:dyDescent="0.25">
      <c r="A451" s="22" t="s">
        <v>91</v>
      </c>
      <c r="B451" s="22" t="s">
        <v>511</v>
      </c>
      <c r="C451" s="22">
        <v>753</v>
      </c>
      <c r="D451" s="22">
        <v>1024</v>
      </c>
      <c r="E451" s="22">
        <v>48</v>
      </c>
      <c r="F451" s="22">
        <v>6000</v>
      </c>
      <c r="G451" s="22">
        <v>7.1</v>
      </c>
      <c r="H451" s="22" t="s">
        <v>21</v>
      </c>
      <c r="I451" s="22" t="s">
        <v>14</v>
      </c>
      <c r="J451" s="22">
        <v>3.6</v>
      </c>
    </row>
    <row r="452" spans="1:10" x14ac:dyDescent="0.25">
      <c r="A452" s="22" t="s">
        <v>19</v>
      </c>
      <c r="B452" s="22" t="s">
        <v>512</v>
      </c>
      <c r="C452" s="22">
        <v>754</v>
      </c>
      <c r="D452" s="22">
        <v>512</v>
      </c>
      <c r="E452" s="22">
        <v>108</v>
      </c>
      <c r="F452" s="22">
        <v>6000</v>
      </c>
      <c r="G452" s="22">
        <v>6</v>
      </c>
      <c r="H452" s="22" t="s">
        <v>21</v>
      </c>
      <c r="I452" s="22" t="s">
        <v>14</v>
      </c>
      <c r="J452" s="22">
        <v>3.6</v>
      </c>
    </row>
    <row r="453" spans="1:10" x14ac:dyDescent="0.25">
      <c r="A453" s="22" t="s">
        <v>19</v>
      </c>
      <c r="B453" s="22" t="s">
        <v>513</v>
      </c>
      <c r="C453" s="22">
        <v>758</v>
      </c>
      <c r="D453" s="22">
        <v>64</v>
      </c>
      <c r="E453" s="22">
        <v>12</v>
      </c>
      <c r="F453" s="22">
        <v>5500</v>
      </c>
      <c r="G453" s="22">
        <v>5.9</v>
      </c>
      <c r="H453" s="22" t="s">
        <v>13</v>
      </c>
      <c r="I453" s="22" t="s">
        <v>14</v>
      </c>
      <c r="J453" s="22">
        <v>3.9</v>
      </c>
    </row>
    <row r="454" spans="1:10" x14ac:dyDescent="0.25">
      <c r="A454" s="22" t="s">
        <v>16</v>
      </c>
      <c r="B454" s="22" t="s">
        <v>514</v>
      </c>
      <c r="C454" s="22">
        <v>760</v>
      </c>
      <c r="D454" s="22">
        <v>128</v>
      </c>
      <c r="E454" s="22">
        <v>12</v>
      </c>
      <c r="F454" s="22">
        <v>6000</v>
      </c>
      <c r="G454" s="22">
        <v>6.5</v>
      </c>
      <c r="H454" s="22" t="s">
        <v>21</v>
      </c>
      <c r="I454" s="22" t="s">
        <v>14</v>
      </c>
      <c r="J454" s="22">
        <v>4</v>
      </c>
    </row>
    <row r="455" spans="1:10" x14ac:dyDescent="0.25">
      <c r="A455" s="22" t="s">
        <v>58</v>
      </c>
      <c r="B455" s="22" t="s">
        <v>515</v>
      </c>
      <c r="C455" s="22">
        <v>761</v>
      </c>
      <c r="D455" s="22">
        <v>512</v>
      </c>
      <c r="E455" s="22">
        <v>50</v>
      </c>
      <c r="F455" s="22">
        <v>4000</v>
      </c>
      <c r="G455" s="22">
        <v>5.6</v>
      </c>
      <c r="H455" s="22" t="s">
        <v>13</v>
      </c>
      <c r="I455" s="22" t="s">
        <v>60</v>
      </c>
      <c r="J455" s="22">
        <v>3.7</v>
      </c>
    </row>
    <row r="456" spans="1:10" x14ac:dyDescent="0.25">
      <c r="A456" s="22" t="s">
        <v>52</v>
      </c>
      <c r="B456" s="22" t="s">
        <v>516</v>
      </c>
      <c r="C456" s="22">
        <v>761</v>
      </c>
      <c r="D456" s="22">
        <v>64</v>
      </c>
      <c r="E456" s="22">
        <v>200</v>
      </c>
      <c r="F456" s="22">
        <v>6000</v>
      </c>
      <c r="G456" s="22">
        <v>6.2</v>
      </c>
      <c r="H456" s="22" t="s">
        <v>21</v>
      </c>
      <c r="I456" s="22" t="s">
        <v>14</v>
      </c>
      <c r="J456" s="22">
        <v>3.5</v>
      </c>
    </row>
    <row r="457" spans="1:10" x14ac:dyDescent="0.25">
      <c r="A457" s="22" t="s">
        <v>58</v>
      </c>
      <c r="B457" s="22" t="s">
        <v>517</v>
      </c>
      <c r="C457" s="22">
        <v>768</v>
      </c>
      <c r="D457" s="22">
        <v>256</v>
      </c>
      <c r="E457" s="22">
        <v>50</v>
      </c>
      <c r="F457" s="22">
        <v>6000</v>
      </c>
      <c r="G457" s="22">
        <v>6.6</v>
      </c>
      <c r="H457" s="22" t="s">
        <v>13</v>
      </c>
      <c r="I457" s="22" t="s">
        <v>60</v>
      </c>
      <c r="J457" s="22">
        <v>3.8</v>
      </c>
    </row>
    <row r="458" spans="1:10" x14ac:dyDescent="0.25">
      <c r="A458" s="22" t="s">
        <v>24</v>
      </c>
      <c r="B458" s="22" t="s">
        <v>518</v>
      </c>
      <c r="C458" s="22">
        <v>768</v>
      </c>
      <c r="D458" s="22">
        <v>1024</v>
      </c>
      <c r="E458" s="22">
        <v>12</v>
      </c>
      <c r="F458" s="22">
        <v>4500</v>
      </c>
      <c r="G458" s="22">
        <v>6.2</v>
      </c>
      <c r="H458" s="22" t="s">
        <v>21</v>
      </c>
      <c r="I458" s="22" t="s">
        <v>14</v>
      </c>
      <c r="J458" s="22">
        <v>4.2</v>
      </c>
    </row>
    <row r="459" spans="1:10" x14ac:dyDescent="0.25">
      <c r="A459" s="22" t="s">
        <v>91</v>
      </c>
      <c r="B459" s="22" t="s">
        <v>519</v>
      </c>
      <c r="C459" s="22">
        <v>769</v>
      </c>
      <c r="D459" s="22">
        <v>512</v>
      </c>
      <c r="E459" s="22">
        <v>200</v>
      </c>
      <c r="F459" s="22">
        <v>5500</v>
      </c>
      <c r="G459" s="22">
        <v>6.7</v>
      </c>
      <c r="H459" s="22" t="s">
        <v>13</v>
      </c>
      <c r="I459" s="22" t="s">
        <v>14</v>
      </c>
      <c r="J459" s="22">
        <v>4.2</v>
      </c>
    </row>
    <row r="460" spans="1:10" x14ac:dyDescent="0.25">
      <c r="A460" s="22" t="s">
        <v>16</v>
      </c>
      <c r="B460" s="22" t="s">
        <v>520</v>
      </c>
      <c r="C460" s="22">
        <v>770</v>
      </c>
      <c r="D460" s="22">
        <v>1024</v>
      </c>
      <c r="E460" s="22">
        <v>12</v>
      </c>
      <c r="F460" s="22">
        <v>4500</v>
      </c>
      <c r="G460" s="22">
        <v>5.9</v>
      </c>
      <c r="H460" s="22" t="s">
        <v>13</v>
      </c>
      <c r="I460" s="22" t="s">
        <v>14</v>
      </c>
      <c r="J460" s="22">
        <v>3.9</v>
      </c>
    </row>
    <row r="461" spans="1:10" x14ac:dyDescent="0.25">
      <c r="A461" s="22" t="s">
        <v>24</v>
      </c>
      <c r="B461" s="22" t="s">
        <v>521</v>
      </c>
      <c r="C461" s="22">
        <v>773</v>
      </c>
      <c r="D461" s="22">
        <v>64</v>
      </c>
      <c r="E461" s="22">
        <v>50</v>
      </c>
      <c r="F461" s="22">
        <v>6000</v>
      </c>
      <c r="G461" s="22">
        <v>7.1</v>
      </c>
      <c r="H461" s="22" t="s">
        <v>21</v>
      </c>
      <c r="I461" s="22" t="s">
        <v>14</v>
      </c>
      <c r="J461" s="22">
        <v>4</v>
      </c>
    </row>
    <row r="462" spans="1:10" x14ac:dyDescent="0.25">
      <c r="A462" s="22" t="s">
        <v>19</v>
      </c>
      <c r="B462" s="22" t="s">
        <v>522</v>
      </c>
      <c r="C462" s="22">
        <v>773</v>
      </c>
      <c r="D462" s="22">
        <v>64</v>
      </c>
      <c r="E462" s="22">
        <v>12</v>
      </c>
      <c r="F462" s="22">
        <v>4500</v>
      </c>
      <c r="G462" s="22">
        <v>5.6</v>
      </c>
      <c r="H462" s="22" t="s">
        <v>21</v>
      </c>
      <c r="I462" s="22" t="s">
        <v>14</v>
      </c>
      <c r="J462" s="22">
        <v>4.3</v>
      </c>
    </row>
    <row r="463" spans="1:10" x14ac:dyDescent="0.25">
      <c r="A463" s="22" t="s">
        <v>33</v>
      </c>
      <c r="B463" s="22" t="s">
        <v>523</v>
      </c>
      <c r="C463" s="22">
        <v>773</v>
      </c>
      <c r="D463" s="22">
        <v>128</v>
      </c>
      <c r="E463" s="22">
        <v>12</v>
      </c>
      <c r="F463" s="22">
        <v>4000</v>
      </c>
      <c r="G463" s="22">
        <v>7.2</v>
      </c>
      <c r="H463" s="22" t="s">
        <v>21</v>
      </c>
      <c r="I463" s="22" t="s">
        <v>14</v>
      </c>
      <c r="J463" s="22">
        <v>4.0999999999999996</v>
      </c>
    </row>
    <row r="464" spans="1:10" x14ac:dyDescent="0.25">
      <c r="A464" s="22" t="s">
        <v>91</v>
      </c>
      <c r="B464" s="22" t="s">
        <v>524</v>
      </c>
      <c r="C464" s="22">
        <v>774</v>
      </c>
      <c r="D464" s="22">
        <v>128</v>
      </c>
      <c r="E464" s="22">
        <v>200</v>
      </c>
      <c r="F464" s="22">
        <v>6000</v>
      </c>
      <c r="G464" s="22">
        <v>6.4</v>
      </c>
      <c r="H464" s="22" t="s">
        <v>13</v>
      </c>
      <c r="I464" s="22" t="s">
        <v>14</v>
      </c>
      <c r="J464" s="22">
        <v>4.7</v>
      </c>
    </row>
    <row r="465" spans="1:10" x14ac:dyDescent="0.25">
      <c r="A465" s="22" t="s">
        <v>19</v>
      </c>
      <c r="B465" s="22" t="s">
        <v>525</v>
      </c>
      <c r="C465" s="22">
        <v>776</v>
      </c>
      <c r="D465" s="22">
        <v>1024</v>
      </c>
      <c r="E465" s="22">
        <v>48</v>
      </c>
      <c r="F465" s="22">
        <v>5500</v>
      </c>
      <c r="G465" s="22">
        <v>6.5</v>
      </c>
      <c r="H465" s="22" t="s">
        <v>21</v>
      </c>
      <c r="I465" s="22" t="s">
        <v>14</v>
      </c>
      <c r="J465" s="22">
        <v>4</v>
      </c>
    </row>
    <row r="466" spans="1:10" x14ac:dyDescent="0.25">
      <c r="A466" s="22" t="s">
        <v>33</v>
      </c>
      <c r="B466" s="22" t="s">
        <v>526</v>
      </c>
      <c r="C466" s="22">
        <v>776</v>
      </c>
      <c r="D466" s="22">
        <v>512</v>
      </c>
      <c r="E466" s="22">
        <v>48</v>
      </c>
      <c r="F466" s="22">
        <v>4500</v>
      </c>
      <c r="G466" s="22">
        <v>6.5</v>
      </c>
      <c r="H466" s="22" t="s">
        <v>21</v>
      </c>
      <c r="I466" s="22" t="s">
        <v>14</v>
      </c>
      <c r="J466" s="22">
        <v>3.6</v>
      </c>
    </row>
    <row r="467" spans="1:10" x14ac:dyDescent="0.25">
      <c r="A467" s="22" t="s">
        <v>52</v>
      </c>
      <c r="B467" s="22" t="s">
        <v>527</v>
      </c>
      <c r="C467" s="22">
        <v>777</v>
      </c>
      <c r="D467" s="22">
        <v>128</v>
      </c>
      <c r="E467" s="22">
        <v>50</v>
      </c>
      <c r="F467" s="22">
        <v>6000</v>
      </c>
      <c r="G467" s="22">
        <v>7.1</v>
      </c>
      <c r="H467" s="22" t="s">
        <v>13</v>
      </c>
      <c r="I467" s="22" t="s">
        <v>14</v>
      </c>
      <c r="J467" s="22">
        <v>3.6</v>
      </c>
    </row>
    <row r="468" spans="1:10" x14ac:dyDescent="0.25">
      <c r="A468" s="22" t="s">
        <v>24</v>
      </c>
      <c r="B468" s="22" t="s">
        <v>528</v>
      </c>
      <c r="C468" s="22">
        <v>777</v>
      </c>
      <c r="D468" s="22">
        <v>512</v>
      </c>
      <c r="E468" s="22">
        <v>12</v>
      </c>
      <c r="F468" s="22">
        <v>4500</v>
      </c>
      <c r="G468" s="22">
        <v>5.8</v>
      </c>
      <c r="H468" s="22" t="s">
        <v>21</v>
      </c>
      <c r="I468" s="22" t="s">
        <v>14</v>
      </c>
      <c r="J468" s="22">
        <v>3.8</v>
      </c>
    </row>
    <row r="469" spans="1:10" x14ac:dyDescent="0.25">
      <c r="A469" s="22" t="s">
        <v>11</v>
      </c>
      <c r="B469" s="22" t="s">
        <v>529</v>
      </c>
      <c r="C469" s="22">
        <v>779</v>
      </c>
      <c r="D469" s="22">
        <v>64</v>
      </c>
      <c r="E469" s="22">
        <v>48</v>
      </c>
      <c r="F469" s="22">
        <v>5000</v>
      </c>
      <c r="G469" s="22">
        <v>6.9</v>
      </c>
      <c r="H469" s="22" t="s">
        <v>21</v>
      </c>
      <c r="I469" s="22" t="s">
        <v>14</v>
      </c>
      <c r="J469" s="22">
        <v>4.5</v>
      </c>
    </row>
    <row r="470" spans="1:10" x14ac:dyDescent="0.25">
      <c r="A470" s="22" t="s">
        <v>33</v>
      </c>
      <c r="B470" s="22" t="s">
        <v>530</v>
      </c>
      <c r="C470" s="22">
        <v>779</v>
      </c>
      <c r="D470" s="22">
        <v>512</v>
      </c>
      <c r="E470" s="22">
        <v>64</v>
      </c>
      <c r="F470" s="22">
        <v>4500</v>
      </c>
      <c r="G470" s="22">
        <v>6.7</v>
      </c>
      <c r="H470" s="22" t="s">
        <v>21</v>
      </c>
      <c r="I470" s="22" t="s">
        <v>14</v>
      </c>
      <c r="J470" s="22">
        <v>4.4000000000000004</v>
      </c>
    </row>
    <row r="471" spans="1:10" x14ac:dyDescent="0.25">
      <c r="A471" s="22" t="s">
        <v>19</v>
      </c>
      <c r="B471" s="22" t="s">
        <v>531</v>
      </c>
      <c r="C471" s="22">
        <v>781</v>
      </c>
      <c r="D471" s="22">
        <v>64</v>
      </c>
      <c r="E471" s="22">
        <v>12</v>
      </c>
      <c r="F471" s="22">
        <v>4500</v>
      </c>
      <c r="G471" s="22">
        <v>6.5</v>
      </c>
      <c r="H471" s="22" t="s">
        <v>13</v>
      </c>
      <c r="I471" s="22" t="s">
        <v>14</v>
      </c>
      <c r="J471" s="22">
        <v>4.2</v>
      </c>
    </row>
    <row r="472" spans="1:10" x14ac:dyDescent="0.25">
      <c r="A472" s="22" t="s">
        <v>16</v>
      </c>
      <c r="B472" s="22" t="s">
        <v>532</v>
      </c>
      <c r="C472" s="22">
        <v>785</v>
      </c>
      <c r="D472" s="22">
        <v>64</v>
      </c>
      <c r="E472" s="22">
        <v>50</v>
      </c>
      <c r="F472" s="22">
        <v>5000</v>
      </c>
      <c r="G472" s="22">
        <v>6.7</v>
      </c>
      <c r="H472" s="22" t="s">
        <v>13</v>
      </c>
      <c r="I472" s="22" t="s">
        <v>14</v>
      </c>
      <c r="J472" s="22">
        <v>4.0999999999999996</v>
      </c>
    </row>
    <row r="473" spans="1:10" x14ac:dyDescent="0.25">
      <c r="A473" s="22" t="s">
        <v>19</v>
      </c>
      <c r="B473" s="22" t="s">
        <v>533</v>
      </c>
      <c r="C473" s="22">
        <v>787</v>
      </c>
      <c r="D473" s="22">
        <v>1024</v>
      </c>
      <c r="E473" s="22">
        <v>64</v>
      </c>
      <c r="F473" s="22">
        <v>4000</v>
      </c>
      <c r="G473" s="22">
        <v>5.5</v>
      </c>
      <c r="H473" s="22" t="s">
        <v>21</v>
      </c>
      <c r="I473" s="22" t="s">
        <v>14</v>
      </c>
      <c r="J473" s="22">
        <v>3.8</v>
      </c>
    </row>
    <row r="474" spans="1:10" x14ac:dyDescent="0.25">
      <c r="A474" s="22" t="s">
        <v>91</v>
      </c>
      <c r="B474" s="22" t="s">
        <v>534</v>
      </c>
      <c r="C474" s="22">
        <v>788</v>
      </c>
      <c r="D474" s="22">
        <v>1024</v>
      </c>
      <c r="E474" s="22">
        <v>64</v>
      </c>
      <c r="F474" s="22">
        <v>4500</v>
      </c>
      <c r="G474" s="22">
        <v>6.7</v>
      </c>
      <c r="H474" s="22" t="s">
        <v>13</v>
      </c>
      <c r="I474" s="22" t="s">
        <v>14</v>
      </c>
      <c r="J474" s="22">
        <v>3.7</v>
      </c>
    </row>
    <row r="475" spans="1:10" x14ac:dyDescent="0.25">
      <c r="A475" s="22" t="s">
        <v>52</v>
      </c>
      <c r="B475" s="22" t="s">
        <v>535</v>
      </c>
      <c r="C475" s="22">
        <v>788</v>
      </c>
      <c r="D475" s="22">
        <v>128</v>
      </c>
      <c r="E475" s="22">
        <v>108</v>
      </c>
      <c r="F475" s="22">
        <v>6000</v>
      </c>
      <c r="G475" s="22">
        <v>5.8</v>
      </c>
      <c r="H475" s="22" t="s">
        <v>21</v>
      </c>
      <c r="I475" s="22" t="s">
        <v>14</v>
      </c>
      <c r="J475" s="22">
        <v>3.6</v>
      </c>
    </row>
    <row r="476" spans="1:10" x14ac:dyDescent="0.25">
      <c r="A476" s="22" t="s">
        <v>52</v>
      </c>
      <c r="B476" s="22" t="s">
        <v>536</v>
      </c>
      <c r="C476" s="22">
        <v>789</v>
      </c>
      <c r="D476" s="22">
        <v>512</v>
      </c>
      <c r="E476" s="22">
        <v>12</v>
      </c>
      <c r="F476" s="22">
        <v>5000</v>
      </c>
      <c r="G476" s="22">
        <v>5.9</v>
      </c>
      <c r="H476" s="22" t="s">
        <v>21</v>
      </c>
      <c r="I476" s="22" t="s">
        <v>14</v>
      </c>
      <c r="J476" s="22">
        <v>4.0999999999999996</v>
      </c>
    </row>
    <row r="477" spans="1:10" x14ac:dyDescent="0.25">
      <c r="A477" s="22" t="s">
        <v>58</v>
      </c>
      <c r="B477" s="22" t="s">
        <v>537</v>
      </c>
      <c r="C477" s="22">
        <v>790</v>
      </c>
      <c r="D477" s="22">
        <v>256</v>
      </c>
      <c r="E477" s="22">
        <v>50</v>
      </c>
      <c r="F477" s="22">
        <v>4000</v>
      </c>
      <c r="G477" s="22">
        <v>6.5</v>
      </c>
      <c r="H477" s="22" t="s">
        <v>21</v>
      </c>
      <c r="I477" s="22" t="s">
        <v>60</v>
      </c>
      <c r="J477" s="22">
        <v>3.6</v>
      </c>
    </row>
    <row r="478" spans="1:10" x14ac:dyDescent="0.25">
      <c r="A478" s="22" t="s">
        <v>91</v>
      </c>
      <c r="B478" s="22" t="s">
        <v>538</v>
      </c>
      <c r="C478" s="22">
        <v>792</v>
      </c>
      <c r="D478" s="22">
        <v>256</v>
      </c>
      <c r="E478" s="22">
        <v>48</v>
      </c>
      <c r="F478" s="22">
        <v>4000</v>
      </c>
      <c r="G478" s="22">
        <v>7.1</v>
      </c>
      <c r="H478" s="22" t="s">
        <v>13</v>
      </c>
      <c r="I478" s="22" t="s">
        <v>14</v>
      </c>
      <c r="J478" s="22">
        <v>4.3</v>
      </c>
    </row>
    <row r="479" spans="1:10" x14ac:dyDescent="0.25">
      <c r="A479" s="22" t="s">
        <v>91</v>
      </c>
      <c r="B479" s="22" t="s">
        <v>539</v>
      </c>
      <c r="C479" s="22">
        <v>793</v>
      </c>
      <c r="D479" s="22">
        <v>128</v>
      </c>
      <c r="E479" s="22">
        <v>50</v>
      </c>
      <c r="F479" s="22">
        <v>5500</v>
      </c>
      <c r="G479" s="22">
        <v>6.4</v>
      </c>
      <c r="H479" s="22" t="s">
        <v>21</v>
      </c>
      <c r="I479" s="22" t="s">
        <v>14</v>
      </c>
      <c r="J479" s="22">
        <v>4.2</v>
      </c>
    </row>
    <row r="480" spans="1:10" x14ac:dyDescent="0.25">
      <c r="A480" s="22" t="s">
        <v>19</v>
      </c>
      <c r="B480" s="22" t="s">
        <v>540</v>
      </c>
      <c r="C480" s="22">
        <v>794</v>
      </c>
      <c r="D480" s="22">
        <v>1024</v>
      </c>
      <c r="E480" s="22">
        <v>200</v>
      </c>
      <c r="F480" s="22">
        <v>4000</v>
      </c>
      <c r="G480" s="22">
        <v>5.9</v>
      </c>
      <c r="H480" s="22" t="s">
        <v>13</v>
      </c>
      <c r="I480" s="22" t="s">
        <v>14</v>
      </c>
      <c r="J480" s="22">
        <v>4.3</v>
      </c>
    </row>
    <row r="481" spans="1:10" x14ac:dyDescent="0.25">
      <c r="A481" s="22" t="s">
        <v>11</v>
      </c>
      <c r="B481" s="22" t="s">
        <v>541</v>
      </c>
      <c r="C481" s="22">
        <v>795</v>
      </c>
      <c r="D481" s="22">
        <v>512</v>
      </c>
      <c r="E481" s="22">
        <v>50</v>
      </c>
      <c r="F481" s="22">
        <v>5500</v>
      </c>
      <c r="G481" s="22">
        <v>6.5</v>
      </c>
      <c r="H481" s="22" t="s">
        <v>21</v>
      </c>
      <c r="I481" s="22" t="s">
        <v>14</v>
      </c>
      <c r="J481" s="22">
        <v>4.8</v>
      </c>
    </row>
    <row r="482" spans="1:10" x14ac:dyDescent="0.25">
      <c r="A482" s="22" t="s">
        <v>52</v>
      </c>
      <c r="B482" s="22" t="s">
        <v>542</v>
      </c>
      <c r="C482" s="22">
        <v>799</v>
      </c>
      <c r="D482" s="22">
        <v>512</v>
      </c>
      <c r="E482" s="22">
        <v>108</v>
      </c>
      <c r="F482" s="22">
        <v>5500</v>
      </c>
      <c r="G482" s="22">
        <v>7</v>
      </c>
      <c r="H482" s="22" t="s">
        <v>13</v>
      </c>
      <c r="I482" s="22" t="s">
        <v>14</v>
      </c>
      <c r="J482" s="22">
        <v>4.9000000000000004</v>
      </c>
    </row>
    <row r="483" spans="1:10" x14ac:dyDescent="0.25">
      <c r="A483" s="22" t="s">
        <v>19</v>
      </c>
      <c r="B483" s="22" t="s">
        <v>543</v>
      </c>
      <c r="C483" s="22">
        <v>800</v>
      </c>
      <c r="D483" s="22">
        <v>64</v>
      </c>
      <c r="E483" s="22">
        <v>12</v>
      </c>
      <c r="F483" s="22">
        <v>5500</v>
      </c>
      <c r="G483" s="22">
        <v>6.3</v>
      </c>
      <c r="H483" s="22" t="s">
        <v>13</v>
      </c>
      <c r="I483" s="22" t="s">
        <v>14</v>
      </c>
      <c r="J483" s="22">
        <v>4.4000000000000004</v>
      </c>
    </row>
    <row r="484" spans="1:10" x14ac:dyDescent="0.25">
      <c r="A484" s="22" t="s">
        <v>19</v>
      </c>
      <c r="B484" s="22" t="s">
        <v>544</v>
      </c>
      <c r="C484" s="22">
        <v>803</v>
      </c>
      <c r="D484" s="22">
        <v>128</v>
      </c>
      <c r="E484" s="22">
        <v>200</v>
      </c>
      <c r="F484" s="22">
        <v>4500</v>
      </c>
      <c r="G484" s="22">
        <v>5.7</v>
      </c>
      <c r="H484" s="22" t="s">
        <v>21</v>
      </c>
      <c r="I484" s="22" t="s">
        <v>14</v>
      </c>
      <c r="J484" s="22">
        <v>3.8</v>
      </c>
    </row>
    <row r="485" spans="1:10" x14ac:dyDescent="0.25">
      <c r="A485" s="22" t="s">
        <v>11</v>
      </c>
      <c r="B485" s="22" t="s">
        <v>545</v>
      </c>
      <c r="C485" s="22">
        <v>804</v>
      </c>
      <c r="D485" s="22">
        <v>1024</v>
      </c>
      <c r="E485" s="22">
        <v>50</v>
      </c>
      <c r="F485" s="22">
        <v>5000</v>
      </c>
      <c r="G485" s="22">
        <v>6.4</v>
      </c>
      <c r="H485" s="22" t="s">
        <v>13</v>
      </c>
      <c r="I485" s="22" t="s">
        <v>14</v>
      </c>
      <c r="J485" s="22">
        <v>4.4000000000000004</v>
      </c>
    </row>
    <row r="486" spans="1:10" x14ac:dyDescent="0.25">
      <c r="A486" s="22" t="s">
        <v>33</v>
      </c>
      <c r="B486" s="22" t="s">
        <v>546</v>
      </c>
      <c r="C486" s="22">
        <v>804</v>
      </c>
      <c r="D486" s="22">
        <v>512</v>
      </c>
      <c r="E486" s="22">
        <v>64</v>
      </c>
      <c r="F486" s="22">
        <v>5000</v>
      </c>
      <c r="G486" s="22">
        <v>7</v>
      </c>
      <c r="H486" s="22" t="s">
        <v>21</v>
      </c>
      <c r="I486" s="22" t="s">
        <v>14</v>
      </c>
      <c r="J486" s="22">
        <v>4.2</v>
      </c>
    </row>
    <row r="487" spans="1:10" x14ac:dyDescent="0.25">
      <c r="A487" s="22" t="s">
        <v>24</v>
      </c>
      <c r="B487" s="22" t="s">
        <v>547</v>
      </c>
      <c r="C487" s="22">
        <v>808</v>
      </c>
      <c r="D487" s="22">
        <v>64</v>
      </c>
      <c r="E487" s="22">
        <v>200</v>
      </c>
      <c r="F487" s="22">
        <v>5000</v>
      </c>
      <c r="G487" s="22">
        <v>7.1</v>
      </c>
      <c r="H487" s="22" t="s">
        <v>21</v>
      </c>
      <c r="I487" s="22" t="s">
        <v>14</v>
      </c>
      <c r="J487" s="22">
        <v>4.8</v>
      </c>
    </row>
    <row r="488" spans="1:10" x14ac:dyDescent="0.25">
      <c r="A488" s="22" t="s">
        <v>11</v>
      </c>
      <c r="B488" s="22" t="s">
        <v>548</v>
      </c>
      <c r="C488" s="22">
        <v>809</v>
      </c>
      <c r="D488" s="22">
        <v>64</v>
      </c>
      <c r="E488" s="22">
        <v>48</v>
      </c>
      <c r="F488" s="22">
        <v>4000</v>
      </c>
      <c r="G488" s="22">
        <v>6.2</v>
      </c>
      <c r="H488" s="22" t="s">
        <v>13</v>
      </c>
      <c r="I488" s="22" t="s">
        <v>14</v>
      </c>
      <c r="J488" s="22">
        <v>4</v>
      </c>
    </row>
    <row r="489" spans="1:10" x14ac:dyDescent="0.25">
      <c r="A489" s="22" t="s">
        <v>91</v>
      </c>
      <c r="B489" s="22" t="s">
        <v>549</v>
      </c>
      <c r="C489" s="22">
        <v>811</v>
      </c>
      <c r="D489" s="22">
        <v>128</v>
      </c>
      <c r="E489" s="22">
        <v>200</v>
      </c>
      <c r="F489" s="22">
        <v>6000</v>
      </c>
      <c r="G489" s="22">
        <v>5.7</v>
      </c>
      <c r="H489" s="22" t="s">
        <v>13</v>
      </c>
      <c r="I489" s="22" t="s">
        <v>14</v>
      </c>
      <c r="J489" s="22">
        <v>3.6</v>
      </c>
    </row>
    <row r="490" spans="1:10" x14ac:dyDescent="0.25">
      <c r="A490" s="22" t="s">
        <v>11</v>
      </c>
      <c r="B490" s="22" t="s">
        <v>550</v>
      </c>
      <c r="C490" s="22">
        <v>814</v>
      </c>
      <c r="D490" s="22">
        <v>256</v>
      </c>
      <c r="E490" s="22">
        <v>200</v>
      </c>
      <c r="F490" s="22">
        <v>5000</v>
      </c>
      <c r="G490" s="22">
        <v>6.2</v>
      </c>
      <c r="H490" s="22" t="s">
        <v>21</v>
      </c>
      <c r="I490" s="22" t="s">
        <v>14</v>
      </c>
      <c r="J490" s="22">
        <v>3.7</v>
      </c>
    </row>
    <row r="491" spans="1:10" x14ac:dyDescent="0.25">
      <c r="A491" s="22" t="s">
        <v>24</v>
      </c>
      <c r="B491" s="22" t="s">
        <v>551</v>
      </c>
      <c r="C491" s="22">
        <v>814</v>
      </c>
      <c r="D491" s="22">
        <v>512</v>
      </c>
      <c r="E491" s="22">
        <v>108</v>
      </c>
      <c r="F491" s="22">
        <v>5000</v>
      </c>
      <c r="G491" s="22">
        <v>7.2</v>
      </c>
      <c r="H491" s="22" t="s">
        <v>13</v>
      </c>
      <c r="I491" s="22" t="s">
        <v>14</v>
      </c>
      <c r="J491" s="22">
        <v>4.0999999999999996</v>
      </c>
    </row>
    <row r="492" spans="1:10" x14ac:dyDescent="0.25">
      <c r="A492" s="22" t="s">
        <v>91</v>
      </c>
      <c r="B492" s="22" t="s">
        <v>552</v>
      </c>
      <c r="C492" s="22">
        <v>815</v>
      </c>
      <c r="D492" s="22">
        <v>64</v>
      </c>
      <c r="E492" s="22">
        <v>48</v>
      </c>
      <c r="F492" s="22">
        <v>6000</v>
      </c>
      <c r="G492" s="22">
        <v>6.3</v>
      </c>
      <c r="H492" s="22" t="s">
        <v>21</v>
      </c>
      <c r="I492" s="22" t="s">
        <v>14</v>
      </c>
      <c r="J492" s="22">
        <v>4.8</v>
      </c>
    </row>
    <row r="493" spans="1:10" x14ac:dyDescent="0.25">
      <c r="A493" s="22" t="s">
        <v>47</v>
      </c>
      <c r="B493" s="22" t="s">
        <v>553</v>
      </c>
      <c r="C493" s="22">
        <v>817</v>
      </c>
      <c r="D493" s="22">
        <v>128</v>
      </c>
      <c r="E493" s="22">
        <v>50</v>
      </c>
      <c r="F493" s="22">
        <v>4000</v>
      </c>
      <c r="G493" s="22">
        <v>5.5</v>
      </c>
      <c r="H493" s="22" t="s">
        <v>21</v>
      </c>
      <c r="I493" s="22" t="s">
        <v>14</v>
      </c>
      <c r="J493" s="22">
        <v>4.5</v>
      </c>
    </row>
    <row r="494" spans="1:10" x14ac:dyDescent="0.25">
      <c r="A494" s="22" t="s">
        <v>58</v>
      </c>
      <c r="B494" s="22" t="s">
        <v>554</v>
      </c>
      <c r="C494" s="22">
        <v>817</v>
      </c>
      <c r="D494" s="22">
        <v>64</v>
      </c>
      <c r="E494" s="22">
        <v>12</v>
      </c>
      <c r="F494" s="22">
        <v>6000</v>
      </c>
      <c r="G494" s="22">
        <v>6.9</v>
      </c>
      <c r="H494" s="22" t="s">
        <v>21</v>
      </c>
      <c r="I494" s="22" t="s">
        <v>60</v>
      </c>
      <c r="J494" s="22">
        <v>4.5</v>
      </c>
    </row>
    <row r="495" spans="1:10" x14ac:dyDescent="0.25">
      <c r="A495" s="22" t="s">
        <v>11</v>
      </c>
      <c r="B495" s="22" t="s">
        <v>555</v>
      </c>
      <c r="C495" s="22">
        <v>818</v>
      </c>
      <c r="D495" s="22">
        <v>512</v>
      </c>
      <c r="E495" s="22">
        <v>108</v>
      </c>
      <c r="F495" s="22">
        <v>4000</v>
      </c>
      <c r="G495" s="22">
        <v>6.3</v>
      </c>
      <c r="H495" s="22" t="s">
        <v>13</v>
      </c>
      <c r="I495" s="22" t="s">
        <v>14</v>
      </c>
      <c r="J495" s="22">
        <v>4.2</v>
      </c>
    </row>
    <row r="496" spans="1:10" x14ac:dyDescent="0.25">
      <c r="A496" s="22" t="s">
        <v>58</v>
      </c>
      <c r="B496" s="22" t="s">
        <v>556</v>
      </c>
      <c r="C496" s="22">
        <v>818</v>
      </c>
      <c r="D496" s="22">
        <v>64</v>
      </c>
      <c r="E496" s="22">
        <v>48</v>
      </c>
      <c r="F496" s="22">
        <v>4000</v>
      </c>
      <c r="G496" s="22">
        <v>7.1</v>
      </c>
      <c r="H496" s="22" t="s">
        <v>13</v>
      </c>
      <c r="I496" s="22" t="s">
        <v>60</v>
      </c>
      <c r="J496" s="22">
        <v>5</v>
      </c>
    </row>
    <row r="497" spans="1:10" x14ac:dyDescent="0.25">
      <c r="A497" s="22" t="s">
        <v>33</v>
      </c>
      <c r="B497" s="22" t="s">
        <v>557</v>
      </c>
      <c r="C497" s="22">
        <v>818</v>
      </c>
      <c r="D497" s="22">
        <v>256</v>
      </c>
      <c r="E497" s="22">
        <v>64</v>
      </c>
      <c r="F497" s="22">
        <v>5000</v>
      </c>
      <c r="G497" s="22">
        <v>5.9</v>
      </c>
      <c r="H497" s="22" t="s">
        <v>13</v>
      </c>
      <c r="I497" s="22" t="s">
        <v>14</v>
      </c>
      <c r="J497" s="22">
        <v>4.3</v>
      </c>
    </row>
    <row r="498" spans="1:10" x14ac:dyDescent="0.25">
      <c r="A498" s="22" t="s">
        <v>52</v>
      </c>
      <c r="B498" s="22" t="s">
        <v>558</v>
      </c>
      <c r="C498" s="22">
        <v>820</v>
      </c>
      <c r="D498" s="22">
        <v>64</v>
      </c>
      <c r="E498" s="22">
        <v>64</v>
      </c>
      <c r="F498" s="22">
        <v>5500</v>
      </c>
      <c r="G498" s="22">
        <v>6.9</v>
      </c>
      <c r="H498" s="22" t="s">
        <v>21</v>
      </c>
      <c r="I498" s="22" t="s">
        <v>14</v>
      </c>
      <c r="J498" s="22">
        <v>4.0999999999999996</v>
      </c>
    </row>
    <row r="499" spans="1:10" x14ac:dyDescent="0.25">
      <c r="A499" s="22" t="s">
        <v>33</v>
      </c>
      <c r="B499" s="22" t="s">
        <v>559</v>
      </c>
      <c r="C499" s="22">
        <v>820</v>
      </c>
      <c r="D499" s="22">
        <v>512</v>
      </c>
      <c r="E499" s="22">
        <v>108</v>
      </c>
      <c r="F499" s="22">
        <v>4500</v>
      </c>
      <c r="G499" s="22">
        <v>6.3</v>
      </c>
      <c r="H499" s="22" t="s">
        <v>21</v>
      </c>
      <c r="I499" s="22" t="s">
        <v>14</v>
      </c>
      <c r="J499" s="22">
        <v>3.7</v>
      </c>
    </row>
    <row r="500" spans="1:10" x14ac:dyDescent="0.25">
      <c r="A500" s="22" t="s">
        <v>16</v>
      </c>
      <c r="B500" s="22" t="s">
        <v>560</v>
      </c>
      <c r="C500" s="22">
        <v>820</v>
      </c>
      <c r="D500" s="22">
        <v>1024</v>
      </c>
      <c r="E500" s="22">
        <v>108</v>
      </c>
      <c r="F500" s="22">
        <v>5000</v>
      </c>
      <c r="G500" s="22">
        <v>6.4</v>
      </c>
      <c r="H500" s="22" t="s">
        <v>13</v>
      </c>
      <c r="I500" s="22" t="s">
        <v>14</v>
      </c>
      <c r="J500" s="22">
        <v>3.7</v>
      </c>
    </row>
    <row r="501" spans="1:10" x14ac:dyDescent="0.25">
      <c r="A501" s="22" t="s">
        <v>52</v>
      </c>
      <c r="B501" s="22" t="s">
        <v>561</v>
      </c>
      <c r="C501" s="22">
        <v>821</v>
      </c>
      <c r="D501" s="22">
        <v>512</v>
      </c>
      <c r="E501" s="22">
        <v>200</v>
      </c>
      <c r="F501" s="22">
        <v>5500</v>
      </c>
      <c r="G501" s="22">
        <v>6.3</v>
      </c>
      <c r="H501" s="22" t="s">
        <v>13</v>
      </c>
      <c r="I501" s="22" t="s">
        <v>14</v>
      </c>
      <c r="J501" s="22">
        <v>3.6</v>
      </c>
    </row>
    <row r="502" spans="1:10" x14ac:dyDescent="0.25">
      <c r="A502" s="22" t="s">
        <v>33</v>
      </c>
      <c r="B502" s="22" t="s">
        <v>562</v>
      </c>
      <c r="C502" s="22">
        <v>823</v>
      </c>
      <c r="D502" s="22">
        <v>512</v>
      </c>
      <c r="E502" s="22">
        <v>108</v>
      </c>
      <c r="F502" s="22">
        <v>4000</v>
      </c>
      <c r="G502" s="22">
        <v>6</v>
      </c>
      <c r="H502" s="22" t="s">
        <v>13</v>
      </c>
      <c r="I502" s="22" t="s">
        <v>14</v>
      </c>
      <c r="J502" s="22">
        <v>4</v>
      </c>
    </row>
    <row r="503" spans="1:10" x14ac:dyDescent="0.25">
      <c r="A503" s="22" t="s">
        <v>58</v>
      </c>
      <c r="B503" s="22" t="s">
        <v>563</v>
      </c>
      <c r="C503" s="22">
        <v>824</v>
      </c>
      <c r="D503" s="22">
        <v>512</v>
      </c>
      <c r="E503" s="22">
        <v>108</v>
      </c>
      <c r="F503" s="22">
        <v>4500</v>
      </c>
      <c r="G503" s="22">
        <v>5.6</v>
      </c>
      <c r="H503" s="22" t="s">
        <v>21</v>
      </c>
      <c r="I503" s="22" t="s">
        <v>60</v>
      </c>
      <c r="J503" s="22">
        <v>4.8</v>
      </c>
    </row>
    <row r="504" spans="1:10" x14ac:dyDescent="0.25">
      <c r="A504" s="22" t="s">
        <v>24</v>
      </c>
      <c r="B504" s="22" t="s">
        <v>564</v>
      </c>
      <c r="C504" s="22">
        <v>825</v>
      </c>
      <c r="D504" s="22">
        <v>128</v>
      </c>
      <c r="E504" s="22">
        <v>12</v>
      </c>
      <c r="F504" s="22">
        <v>4500</v>
      </c>
      <c r="G504" s="22">
        <v>6</v>
      </c>
      <c r="H504" s="22" t="s">
        <v>13</v>
      </c>
      <c r="I504" s="22" t="s">
        <v>14</v>
      </c>
      <c r="J504" s="22">
        <v>4.8</v>
      </c>
    </row>
    <row r="505" spans="1:10" x14ac:dyDescent="0.25">
      <c r="A505" s="22" t="s">
        <v>52</v>
      </c>
      <c r="B505" s="22" t="s">
        <v>565</v>
      </c>
      <c r="C505" s="22">
        <v>825</v>
      </c>
      <c r="D505" s="22">
        <v>64</v>
      </c>
      <c r="E505" s="22">
        <v>12</v>
      </c>
      <c r="F505" s="22">
        <v>4500</v>
      </c>
      <c r="G505" s="22">
        <v>6.3</v>
      </c>
      <c r="H505" s="22" t="s">
        <v>13</v>
      </c>
      <c r="I505" s="22" t="s">
        <v>14</v>
      </c>
      <c r="J505" s="22">
        <v>3.9</v>
      </c>
    </row>
    <row r="506" spans="1:10" x14ac:dyDescent="0.25">
      <c r="A506" s="22" t="s">
        <v>11</v>
      </c>
      <c r="B506" s="22" t="s">
        <v>566</v>
      </c>
      <c r="C506" s="22">
        <v>827</v>
      </c>
      <c r="D506" s="22">
        <v>512</v>
      </c>
      <c r="E506" s="22">
        <v>50</v>
      </c>
      <c r="F506" s="22">
        <v>5500</v>
      </c>
      <c r="G506" s="22">
        <v>6.2</v>
      </c>
      <c r="H506" s="22" t="s">
        <v>13</v>
      </c>
      <c r="I506" s="22" t="s">
        <v>14</v>
      </c>
      <c r="J506" s="22">
        <v>4</v>
      </c>
    </row>
    <row r="507" spans="1:10" x14ac:dyDescent="0.25">
      <c r="A507" s="22" t="s">
        <v>11</v>
      </c>
      <c r="B507" s="22" t="s">
        <v>567</v>
      </c>
      <c r="C507" s="22">
        <v>830</v>
      </c>
      <c r="D507" s="22">
        <v>512</v>
      </c>
      <c r="E507" s="22">
        <v>48</v>
      </c>
      <c r="F507" s="22">
        <v>4500</v>
      </c>
      <c r="G507" s="22">
        <v>6.8</v>
      </c>
      <c r="H507" s="22" t="s">
        <v>13</v>
      </c>
      <c r="I507" s="22" t="s">
        <v>14</v>
      </c>
      <c r="J507" s="22">
        <v>5</v>
      </c>
    </row>
    <row r="508" spans="1:10" x14ac:dyDescent="0.25">
      <c r="A508" s="22" t="s">
        <v>47</v>
      </c>
      <c r="B508" s="22" t="s">
        <v>568</v>
      </c>
      <c r="C508" s="22">
        <v>830</v>
      </c>
      <c r="D508" s="22">
        <v>64</v>
      </c>
      <c r="E508" s="22">
        <v>48</v>
      </c>
      <c r="F508" s="22">
        <v>6000</v>
      </c>
      <c r="G508" s="22">
        <v>5.6</v>
      </c>
      <c r="H508" s="22" t="s">
        <v>21</v>
      </c>
      <c r="I508" s="22" t="s">
        <v>14</v>
      </c>
      <c r="J508" s="22">
        <v>4.2</v>
      </c>
    </row>
    <row r="509" spans="1:10" x14ac:dyDescent="0.25">
      <c r="A509" s="22" t="s">
        <v>47</v>
      </c>
      <c r="B509" s="22" t="s">
        <v>569</v>
      </c>
      <c r="C509" s="22">
        <v>833</v>
      </c>
      <c r="D509" s="22">
        <v>256</v>
      </c>
      <c r="E509" s="22">
        <v>108</v>
      </c>
      <c r="F509" s="22">
        <v>5500</v>
      </c>
      <c r="G509" s="22">
        <v>6.7</v>
      </c>
      <c r="H509" s="22" t="s">
        <v>21</v>
      </c>
      <c r="I509" s="22" t="s">
        <v>14</v>
      </c>
      <c r="J509" s="22">
        <v>5</v>
      </c>
    </row>
    <row r="510" spans="1:10" x14ac:dyDescent="0.25">
      <c r="A510" s="22" t="s">
        <v>11</v>
      </c>
      <c r="B510" s="22" t="s">
        <v>570</v>
      </c>
      <c r="C510" s="22">
        <v>834</v>
      </c>
      <c r="D510" s="22">
        <v>128</v>
      </c>
      <c r="E510" s="22">
        <v>50</v>
      </c>
      <c r="F510" s="22">
        <v>5000</v>
      </c>
      <c r="G510" s="22">
        <v>6.2</v>
      </c>
      <c r="H510" s="22" t="s">
        <v>21</v>
      </c>
      <c r="I510" s="22" t="s">
        <v>14</v>
      </c>
      <c r="J510" s="22">
        <v>4.5999999999999996</v>
      </c>
    </row>
    <row r="511" spans="1:10" x14ac:dyDescent="0.25">
      <c r="A511" s="22" t="s">
        <v>11</v>
      </c>
      <c r="B511" s="22" t="s">
        <v>571</v>
      </c>
      <c r="C511" s="22">
        <v>835</v>
      </c>
      <c r="D511" s="22">
        <v>128</v>
      </c>
      <c r="E511" s="22">
        <v>64</v>
      </c>
      <c r="F511" s="22">
        <v>4000</v>
      </c>
      <c r="G511" s="22">
        <v>6.2</v>
      </c>
      <c r="H511" s="22" t="s">
        <v>21</v>
      </c>
      <c r="I511" s="22" t="s">
        <v>14</v>
      </c>
      <c r="J511" s="22">
        <v>4.9000000000000004</v>
      </c>
    </row>
    <row r="512" spans="1:10" x14ac:dyDescent="0.25">
      <c r="A512" s="22" t="s">
        <v>19</v>
      </c>
      <c r="B512" s="22" t="s">
        <v>572</v>
      </c>
      <c r="C512" s="22">
        <v>835</v>
      </c>
      <c r="D512" s="22">
        <v>256</v>
      </c>
      <c r="E512" s="22">
        <v>48</v>
      </c>
      <c r="F512" s="22">
        <v>4000</v>
      </c>
      <c r="G512" s="22">
        <v>7</v>
      </c>
      <c r="H512" s="22" t="s">
        <v>21</v>
      </c>
      <c r="I512" s="22" t="s">
        <v>14</v>
      </c>
      <c r="J512" s="22">
        <v>4.2</v>
      </c>
    </row>
    <row r="513" spans="1:10" x14ac:dyDescent="0.25">
      <c r="A513" s="22" t="s">
        <v>24</v>
      </c>
      <c r="B513" s="22" t="s">
        <v>573</v>
      </c>
      <c r="C513" s="22">
        <v>836</v>
      </c>
      <c r="D513" s="22">
        <v>128</v>
      </c>
      <c r="E513" s="22">
        <v>50</v>
      </c>
      <c r="F513" s="22">
        <v>6000</v>
      </c>
      <c r="G513" s="22">
        <v>6.8</v>
      </c>
      <c r="H513" s="22" t="s">
        <v>21</v>
      </c>
      <c r="I513" s="22" t="s">
        <v>14</v>
      </c>
      <c r="J513" s="22">
        <v>5</v>
      </c>
    </row>
    <row r="514" spans="1:10" x14ac:dyDescent="0.25">
      <c r="A514" s="22" t="s">
        <v>33</v>
      </c>
      <c r="B514" s="22" t="s">
        <v>574</v>
      </c>
      <c r="C514" s="22">
        <v>837</v>
      </c>
      <c r="D514" s="22">
        <v>512</v>
      </c>
      <c r="E514" s="22">
        <v>48</v>
      </c>
      <c r="F514" s="22">
        <v>4500</v>
      </c>
      <c r="G514" s="22">
        <v>6</v>
      </c>
      <c r="H514" s="22" t="s">
        <v>21</v>
      </c>
      <c r="I514" s="22" t="s">
        <v>14</v>
      </c>
      <c r="J514" s="22">
        <v>4.0999999999999996</v>
      </c>
    </row>
    <row r="515" spans="1:10" x14ac:dyDescent="0.25">
      <c r="A515" s="22" t="s">
        <v>91</v>
      </c>
      <c r="B515" s="22" t="s">
        <v>575</v>
      </c>
      <c r="C515" s="22">
        <v>837</v>
      </c>
      <c r="D515" s="22">
        <v>1024</v>
      </c>
      <c r="E515" s="22">
        <v>48</v>
      </c>
      <c r="F515" s="22">
        <v>4000</v>
      </c>
      <c r="G515" s="22">
        <v>6.7</v>
      </c>
      <c r="H515" s="22" t="s">
        <v>13</v>
      </c>
      <c r="I515" s="22" t="s">
        <v>14</v>
      </c>
      <c r="J515" s="22">
        <v>4</v>
      </c>
    </row>
    <row r="516" spans="1:10" x14ac:dyDescent="0.25">
      <c r="A516" s="22" t="s">
        <v>24</v>
      </c>
      <c r="B516" s="22" t="s">
        <v>576</v>
      </c>
      <c r="C516" s="22">
        <v>840</v>
      </c>
      <c r="D516" s="22">
        <v>1024</v>
      </c>
      <c r="E516" s="22">
        <v>64</v>
      </c>
      <c r="F516" s="22">
        <v>4500</v>
      </c>
      <c r="G516" s="22">
        <v>6.9</v>
      </c>
      <c r="H516" s="22" t="s">
        <v>13</v>
      </c>
      <c r="I516" s="22" t="s">
        <v>14</v>
      </c>
      <c r="J516" s="22">
        <v>4.5999999999999996</v>
      </c>
    </row>
    <row r="517" spans="1:10" x14ac:dyDescent="0.25">
      <c r="A517" s="22" t="s">
        <v>47</v>
      </c>
      <c r="B517" s="22" t="s">
        <v>577</v>
      </c>
      <c r="C517" s="22">
        <v>845</v>
      </c>
      <c r="D517" s="22">
        <v>256</v>
      </c>
      <c r="E517" s="22">
        <v>64</v>
      </c>
      <c r="F517" s="22">
        <v>4000</v>
      </c>
      <c r="G517" s="22">
        <v>6.7</v>
      </c>
      <c r="H517" s="22" t="s">
        <v>13</v>
      </c>
      <c r="I517" s="22" t="s">
        <v>14</v>
      </c>
      <c r="J517" s="22">
        <v>3.7</v>
      </c>
    </row>
    <row r="518" spans="1:10" x14ac:dyDescent="0.25">
      <c r="A518" s="22" t="s">
        <v>47</v>
      </c>
      <c r="B518" s="22" t="s">
        <v>578</v>
      </c>
      <c r="C518" s="22">
        <v>848</v>
      </c>
      <c r="D518" s="22">
        <v>1024</v>
      </c>
      <c r="E518" s="22">
        <v>200</v>
      </c>
      <c r="F518" s="22">
        <v>5500</v>
      </c>
      <c r="G518" s="22">
        <v>5.8</v>
      </c>
      <c r="H518" s="22" t="s">
        <v>21</v>
      </c>
      <c r="I518" s="22" t="s">
        <v>14</v>
      </c>
      <c r="J518" s="22">
        <v>4</v>
      </c>
    </row>
    <row r="519" spans="1:10" x14ac:dyDescent="0.25">
      <c r="A519" s="22" t="s">
        <v>33</v>
      </c>
      <c r="B519" s="22" t="s">
        <v>579</v>
      </c>
      <c r="C519" s="22">
        <v>849</v>
      </c>
      <c r="D519" s="22">
        <v>128</v>
      </c>
      <c r="E519" s="22">
        <v>200</v>
      </c>
      <c r="F519" s="22">
        <v>5000</v>
      </c>
      <c r="G519" s="22">
        <v>6.1</v>
      </c>
      <c r="H519" s="22" t="s">
        <v>13</v>
      </c>
      <c r="I519" s="22" t="s">
        <v>14</v>
      </c>
      <c r="J519" s="22">
        <v>4.9000000000000004</v>
      </c>
    </row>
    <row r="520" spans="1:10" x14ac:dyDescent="0.25">
      <c r="A520" s="22" t="s">
        <v>47</v>
      </c>
      <c r="B520" s="22" t="s">
        <v>580</v>
      </c>
      <c r="C520" s="22">
        <v>850</v>
      </c>
      <c r="D520" s="22">
        <v>64</v>
      </c>
      <c r="E520" s="22">
        <v>108</v>
      </c>
      <c r="F520" s="22">
        <v>4500</v>
      </c>
      <c r="G520" s="22">
        <v>6.4</v>
      </c>
      <c r="H520" s="22" t="s">
        <v>21</v>
      </c>
      <c r="I520" s="22" t="s">
        <v>14</v>
      </c>
      <c r="J520" s="22">
        <v>4.8</v>
      </c>
    </row>
    <row r="521" spans="1:10" x14ac:dyDescent="0.25">
      <c r="A521" s="22" t="s">
        <v>24</v>
      </c>
      <c r="B521" s="22" t="s">
        <v>581</v>
      </c>
      <c r="C521" s="22">
        <v>851</v>
      </c>
      <c r="D521" s="22">
        <v>1024</v>
      </c>
      <c r="E521" s="22">
        <v>108</v>
      </c>
      <c r="F521" s="22">
        <v>4000</v>
      </c>
      <c r="G521" s="22">
        <v>6.8</v>
      </c>
      <c r="H521" s="22" t="s">
        <v>21</v>
      </c>
      <c r="I521" s="22" t="s">
        <v>14</v>
      </c>
      <c r="J521" s="22">
        <v>4.4000000000000004</v>
      </c>
    </row>
    <row r="522" spans="1:10" x14ac:dyDescent="0.25">
      <c r="A522" s="22" t="s">
        <v>24</v>
      </c>
      <c r="B522" s="22" t="s">
        <v>582</v>
      </c>
      <c r="C522" s="22">
        <v>852</v>
      </c>
      <c r="D522" s="22">
        <v>64</v>
      </c>
      <c r="E522" s="22">
        <v>64</v>
      </c>
      <c r="F522" s="22">
        <v>5500</v>
      </c>
      <c r="G522" s="22">
        <v>6.9</v>
      </c>
      <c r="H522" s="22" t="s">
        <v>13</v>
      </c>
      <c r="I522" s="22" t="s">
        <v>14</v>
      </c>
      <c r="J522" s="22">
        <v>3.6</v>
      </c>
    </row>
    <row r="523" spans="1:10" x14ac:dyDescent="0.25">
      <c r="A523" s="22" t="s">
        <v>47</v>
      </c>
      <c r="B523" s="22" t="s">
        <v>583</v>
      </c>
      <c r="C523" s="22">
        <v>853</v>
      </c>
      <c r="D523" s="22">
        <v>512</v>
      </c>
      <c r="E523" s="22">
        <v>48</v>
      </c>
      <c r="F523" s="22">
        <v>4500</v>
      </c>
      <c r="G523" s="22">
        <v>6.3</v>
      </c>
      <c r="H523" s="22" t="s">
        <v>13</v>
      </c>
      <c r="I523" s="22" t="s">
        <v>14</v>
      </c>
      <c r="J523" s="22">
        <v>4.7</v>
      </c>
    </row>
    <row r="524" spans="1:10" x14ac:dyDescent="0.25">
      <c r="A524" s="22" t="s">
        <v>58</v>
      </c>
      <c r="B524" s="22" t="s">
        <v>584</v>
      </c>
      <c r="C524" s="22">
        <v>853</v>
      </c>
      <c r="D524" s="22">
        <v>512</v>
      </c>
      <c r="E524" s="22">
        <v>50</v>
      </c>
      <c r="F524" s="22">
        <v>4000</v>
      </c>
      <c r="G524" s="22">
        <v>6.1</v>
      </c>
      <c r="H524" s="22" t="s">
        <v>13</v>
      </c>
      <c r="I524" s="22" t="s">
        <v>60</v>
      </c>
      <c r="J524" s="22">
        <v>3.7</v>
      </c>
    </row>
    <row r="525" spans="1:10" x14ac:dyDescent="0.25">
      <c r="A525" s="22" t="s">
        <v>16</v>
      </c>
      <c r="B525" s="22" t="s">
        <v>585</v>
      </c>
      <c r="C525" s="22">
        <v>855</v>
      </c>
      <c r="D525" s="22">
        <v>128</v>
      </c>
      <c r="E525" s="22">
        <v>108</v>
      </c>
      <c r="F525" s="22">
        <v>6000</v>
      </c>
      <c r="G525" s="22">
        <v>6.6</v>
      </c>
      <c r="H525" s="22" t="s">
        <v>21</v>
      </c>
      <c r="I525" s="22" t="s">
        <v>14</v>
      </c>
      <c r="J525" s="22">
        <v>3.8</v>
      </c>
    </row>
    <row r="526" spans="1:10" x14ac:dyDescent="0.25">
      <c r="A526" s="22" t="s">
        <v>11</v>
      </c>
      <c r="B526" s="22" t="s">
        <v>586</v>
      </c>
      <c r="C526" s="22">
        <v>857</v>
      </c>
      <c r="D526" s="22">
        <v>512</v>
      </c>
      <c r="E526" s="22">
        <v>12</v>
      </c>
      <c r="F526" s="22">
        <v>4000</v>
      </c>
      <c r="G526" s="22">
        <v>6.1</v>
      </c>
      <c r="H526" s="22" t="s">
        <v>13</v>
      </c>
      <c r="I526" s="22" t="s">
        <v>14</v>
      </c>
      <c r="J526" s="22">
        <v>3.9</v>
      </c>
    </row>
    <row r="527" spans="1:10" x14ac:dyDescent="0.25">
      <c r="A527" s="22" t="s">
        <v>33</v>
      </c>
      <c r="B527" s="22" t="s">
        <v>587</v>
      </c>
      <c r="C527" s="22">
        <v>857</v>
      </c>
      <c r="D527" s="22">
        <v>64</v>
      </c>
      <c r="E527" s="22">
        <v>64</v>
      </c>
      <c r="F527" s="22">
        <v>5000</v>
      </c>
      <c r="G527" s="22">
        <v>7</v>
      </c>
      <c r="H527" s="22" t="s">
        <v>13</v>
      </c>
      <c r="I527" s="22" t="s">
        <v>14</v>
      </c>
      <c r="J527" s="22">
        <v>5</v>
      </c>
    </row>
    <row r="528" spans="1:10" x14ac:dyDescent="0.25">
      <c r="A528" s="22" t="s">
        <v>24</v>
      </c>
      <c r="B528" s="22" t="s">
        <v>588</v>
      </c>
      <c r="C528" s="22">
        <v>858</v>
      </c>
      <c r="D528" s="22">
        <v>256</v>
      </c>
      <c r="E528" s="22">
        <v>200</v>
      </c>
      <c r="F528" s="22">
        <v>6000</v>
      </c>
      <c r="G528" s="22">
        <v>7</v>
      </c>
      <c r="H528" s="22" t="s">
        <v>21</v>
      </c>
      <c r="I528" s="22" t="s">
        <v>14</v>
      </c>
      <c r="J528" s="22">
        <v>4.4000000000000004</v>
      </c>
    </row>
    <row r="529" spans="1:10" x14ac:dyDescent="0.25">
      <c r="A529" s="22" t="s">
        <v>58</v>
      </c>
      <c r="B529" s="22" t="s">
        <v>589</v>
      </c>
      <c r="C529" s="22">
        <v>868</v>
      </c>
      <c r="D529" s="22">
        <v>512</v>
      </c>
      <c r="E529" s="22">
        <v>12</v>
      </c>
      <c r="F529" s="22">
        <v>4500</v>
      </c>
      <c r="G529" s="22">
        <v>7.2</v>
      </c>
      <c r="H529" s="22" t="s">
        <v>13</v>
      </c>
      <c r="I529" s="22" t="s">
        <v>60</v>
      </c>
      <c r="J529" s="22">
        <v>4.5999999999999996</v>
      </c>
    </row>
    <row r="530" spans="1:10" x14ac:dyDescent="0.25">
      <c r="A530" s="22" t="s">
        <v>58</v>
      </c>
      <c r="B530" s="22" t="s">
        <v>590</v>
      </c>
      <c r="C530" s="22">
        <v>873</v>
      </c>
      <c r="D530" s="22">
        <v>256</v>
      </c>
      <c r="E530" s="22">
        <v>50</v>
      </c>
      <c r="F530" s="22">
        <v>6000</v>
      </c>
      <c r="G530" s="22">
        <v>6</v>
      </c>
      <c r="H530" s="22" t="s">
        <v>21</v>
      </c>
      <c r="I530" s="22" t="s">
        <v>60</v>
      </c>
      <c r="J530" s="22">
        <v>4.8</v>
      </c>
    </row>
    <row r="531" spans="1:10" x14ac:dyDescent="0.25">
      <c r="A531" s="22" t="s">
        <v>16</v>
      </c>
      <c r="B531" s="22" t="s">
        <v>591</v>
      </c>
      <c r="C531" s="22">
        <v>875</v>
      </c>
      <c r="D531" s="22">
        <v>64</v>
      </c>
      <c r="E531" s="22">
        <v>48</v>
      </c>
      <c r="F531" s="22">
        <v>4000</v>
      </c>
      <c r="G531" s="22">
        <v>7.2</v>
      </c>
      <c r="H531" s="22" t="s">
        <v>13</v>
      </c>
      <c r="I531" s="22" t="s">
        <v>14</v>
      </c>
      <c r="J531" s="22">
        <v>3.8</v>
      </c>
    </row>
    <row r="532" spans="1:10" x14ac:dyDescent="0.25">
      <c r="A532" s="22" t="s">
        <v>91</v>
      </c>
      <c r="B532" s="22" t="s">
        <v>592</v>
      </c>
      <c r="C532" s="22">
        <v>876</v>
      </c>
      <c r="D532" s="22">
        <v>64</v>
      </c>
      <c r="E532" s="22">
        <v>48</v>
      </c>
      <c r="F532" s="22">
        <v>4000</v>
      </c>
      <c r="G532" s="22">
        <v>6.4</v>
      </c>
      <c r="H532" s="22" t="s">
        <v>13</v>
      </c>
      <c r="I532" s="22" t="s">
        <v>14</v>
      </c>
      <c r="J532" s="22">
        <v>4.0999999999999996</v>
      </c>
    </row>
    <row r="533" spans="1:10" x14ac:dyDescent="0.25">
      <c r="A533" s="22" t="s">
        <v>47</v>
      </c>
      <c r="B533" s="22" t="s">
        <v>593</v>
      </c>
      <c r="C533" s="22">
        <v>876</v>
      </c>
      <c r="D533" s="22">
        <v>128</v>
      </c>
      <c r="E533" s="22">
        <v>12</v>
      </c>
      <c r="F533" s="22">
        <v>4500</v>
      </c>
      <c r="G533" s="22">
        <v>6.6</v>
      </c>
      <c r="H533" s="22" t="s">
        <v>21</v>
      </c>
      <c r="I533" s="22" t="s">
        <v>14</v>
      </c>
      <c r="J533" s="22">
        <v>4.8</v>
      </c>
    </row>
    <row r="534" spans="1:10" x14ac:dyDescent="0.25">
      <c r="A534" s="22" t="s">
        <v>16</v>
      </c>
      <c r="B534" s="22" t="s">
        <v>594</v>
      </c>
      <c r="C534" s="22">
        <v>880</v>
      </c>
      <c r="D534" s="22">
        <v>512</v>
      </c>
      <c r="E534" s="22">
        <v>50</v>
      </c>
      <c r="F534" s="22">
        <v>4500</v>
      </c>
      <c r="G534" s="22">
        <v>6.5</v>
      </c>
      <c r="H534" s="22" t="s">
        <v>21</v>
      </c>
      <c r="I534" s="22" t="s">
        <v>14</v>
      </c>
      <c r="J534" s="22">
        <v>5</v>
      </c>
    </row>
    <row r="535" spans="1:10" x14ac:dyDescent="0.25">
      <c r="A535" s="22" t="s">
        <v>24</v>
      </c>
      <c r="B535" s="22" t="s">
        <v>595</v>
      </c>
      <c r="C535" s="22">
        <v>881</v>
      </c>
      <c r="D535" s="22">
        <v>1024</v>
      </c>
      <c r="E535" s="22">
        <v>200</v>
      </c>
      <c r="F535" s="22">
        <v>5500</v>
      </c>
      <c r="G535" s="22">
        <v>6</v>
      </c>
      <c r="H535" s="22" t="s">
        <v>13</v>
      </c>
      <c r="I535" s="22" t="s">
        <v>14</v>
      </c>
      <c r="J535" s="22">
        <v>4.0999999999999996</v>
      </c>
    </row>
    <row r="536" spans="1:10" x14ac:dyDescent="0.25">
      <c r="A536" s="22" t="s">
        <v>11</v>
      </c>
      <c r="B536" s="22" t="s">
        <v>596</v>
      </c>
      <c r="C536" s="22">
        <v>881</v>
      </c>
      <c r="D536" s="22">
        <v>64</v>
      </c>
      <c r="E536" s="22">
        <v>200</v>
      </c>
      <c r="F536" s="22">
        <v>6000</v>
      </c>
      <c r="G536" s="22">
        <v>5.7</v>
      </c>
      <c r="H536" s="22" t="s">
        <v>13</v>
      </c>
      <c r="I536" s="22" t="s">
        <v>14</v>
      </c>
      <c r="J536" s="22">
        <v>4.2</v>
      </c>
    </row>
    <row r="537" spans="1:10" x14ac:dyDescent="0.25">
      <c r="A537" s="22" t="s">
        <v>24</v>
      </c>
      <c r="B537" s="22" t="s">
        <v>597</v>
      </c>
      <c r="C537" s="22">
        <v>882</v>
      </c>
      <c r="D537" s="22">
        <v>128</v>
      </c>
      <c r="E537" s="22">
        <v>200</v>
      </c>
      <c r="F537" s="22">
        <v>4000</v>
      </c>
      <c r="G537" s="22">
        <v>6.6</v>
      </c>
      <c r="H537" s="22" t="s">
        <v>21</v>
      </c>
      <c r="I537" s="22" t="s">
        <v>14</v>
      </c>
      <c r="J537" s="22">
        <v>4.0999999999999996</v>
      </c>
    </row>
    <row r="538" spans="1:10" x14ac:dyDescent="0.25">
      <c r="A538" s="22" t="s">
        <v>11</v>
      </c>
      <c r="B538" s="22" t="s">
        <v>598</v>
      </c>
      <c r="C538" s="22">
        <v>882</v>
      </c>
      <c r="D538" s="22">
        <v>1024</v>
      </c>
      <c r="E538" s="22">
        <v>48</v>
      </c>
      <c r="F538" s="22">
        <v>5500</v>
      </c>
      <c r="G538" s="22">
        <v>6</v>
      </c>
      <c r="H538" s="22" t="s">
        <v>13</v>
      </c>
      <c r="I538" s="22" t="s">
        <v>14</v>
      </c>
      <c r="J538" s="22">
        <v>4.7</v>
      </c>
    </row>
    <row r="539" spans="1:10" x14ac:dyDescent="0.25">
      <c r="A539" s="22" t="s">
        <v>19</v>
      </c>
      <c r="B539" s="22" t="s">
        <v>599</v>
      </c>
      <c r="C539" s="22">
        <v>882</v>
      </c>
      <c r="D539" s="22">
        <v>512</v>
      </c>
      <c r="E539" s="22">
        <v>48</v>
      </c>
      <c r="F539" s="22">
        <v>5500</v>
      </c>
      <c r="G539" s="22">
        <v>5.9</v>
      </c>
      <c r="H539" s="22" t="s">
        <v>21</v>
      </c>
      <c r="I539" s="22" t="s">
        <v>14</v>
      </c>
      <c r="J539" s="22">
        <v>4</v>
      </c>
    </row>
    <row r="540" spans="1:10" x14ac:dyDescent="0.25">
      <c r="A540" s="22" t="s">
        <v>33</v>
      </c>
      <c r="B540" s="22" t="s">
        <v>600</v>
      </c>
      <c r="C540" s="22">
        <v>883</v>
      </c>
      <c r="D540" s="22">
        <v>512</v>
      </c>
      <c r="E540" s="22">
        <v>64</v>
      </c>
      <c r="F540" s="22">
        <v>5000</v>
      </c>
      <c r="G540" s="22">
        <v>7.1</v>
      </c>
      <c r="H540" s="22" t="s">
        <v>13</v>
      </c>
      <c r="I540" s="22" t="s">
        <v>14</v>
      </c>
      <c r="J540" s="22">
        <v>4.8</v>
      </c>
    </row>
    <row r="541" spans="1:10" x14ac:dyDescent="0.25">
      <c r="A541" s="22" t="s">
        <v>47</v>
      </c>
      <c r="B541" s="22" t="s">
        <v>601</v>
      </c>
      <c r="C541" s="22">
        <v>883</v>
      </c>
      <c r="D541" s="22">
        <v>1024</v>
      </c>
      <c r="E541" s="22">
        <v>64</v>
      </c>
      <c r="F541" s="22">
        <v>6000</v>
      </c>
      <c r="G541" s="22">
        <v>5.7</v>
      </c>
      <c r="H541" s="22" t="s">
        <v>13</v>
      </c>
      <c r="I541" s="22" t="s">
        <v>14</v>
      </c>
      <c r="J541" s="22">
        <v>4.3</v>
      </c>
    </row>
    <row r="542" spans="1:10" x14ac:dyDescent="0.25">
      <c r="A542" s="22" t="s">
        <v>52</v>
      </c>
      <c r="B542" s="22" t="s">
        <v>602</v>
      </c>
      <c r="C542" s="22">
        <v>883</v>
      </c>
      <c r="D542" s="22">
        <v>64</v>
      </c>
      <c r="E542" s="22">
        <v>12</v>
      </c>
      <c r="F542" s="22">
        <v>6000</v>
      </c>
      <c r="G542" s="22">
        <v>6.1</v>
      </c>
      <c r="H542" s="22" t="s">
        <v>13</v>
      </c>
      <c r="I542" s="22" t="s">
        <v>14</v>
      </c>
      <c r="J542" s="22">
        <v>4.4000000000000004</v>
      </c>
    </row>
    <row r="543" spans="1:10" x14ac:dyDescent="0.25">
      <c r="A543" s="22" t="s">
        <v>16</v>
      </c>
      <c r="B543" s="22" t="s">
        <v>603</v>
      </c>
      <c r="C543" s="22">
        <v>884</v>
      </c>
      <c r="D543" s="22">
        <v>128</v>
      </c>
      <c r="E543" s="22">
        <v>50</v>
      </c>
      <c r="F543" s="22">
        <v>5500</v>
      </c>
      <c r="G543" s="22">
        <v>5.9</v>
      </c>
      <c r="H543" s="22" t="s">
        <v>13</v>
      </c>
      <c r="I543" s="22" t="s">
        <v>14</v>
      </c>
      <c r="J543" s="22">
        <v>4.9000000000000004</v>
      </c>
    </row>
    <row r="544" spans="1:10" x14ac:dyDescent="0.25">
      <c r="A544" s="22" t="s">
        <v>19</v>
      </c>
      <c r="B544" s="22" t="s">
        <v>604</v>
      </c>
      <c r="C544" s="22">
        <v>884</v>
      </c>
      <c r="D544" s="22">
        <v>1024</v>
      </c>
      <c r="E544" s="22">
        <v>50</v>
      </c>
      <c r="F544" s="22">
        <v>6000</v>
      </c>
      <c r="G544" s="22">
        <v>6.5</v>
      </c>
      <c r="H544" s="22" t="s">
        <v>21</v>
      </c>
      <c r="I544" s="22" t="s">
        <v>14</v>
      </c>
      <c r="J544" s="22">
        <v>3.6</v>
      </c>
    </row>
    <row r="545" spans="1:10" x14ac:dyDescent="0.25">
      <c r="A545" s="22" t="s">
        <v>24</v>
      </c>
      <c r="B545" s="22" t="s">
        <v>605</v>
      </c>
      <c r="C545" s="22">
        <v>885</v>
      </c>
      <c r="D545" s="22">
        <v>64</v>
      </c>
      <c r="E545" s="22">
        <v>48</v>
      </c>
      <c r="F545" s="22">
        <v>4000</v>
      </c>
      <c r="G545" s="22">
        <v>7.2</v>
      </c>
      <c r="H545" s="22" t="s">
        <v>21</v>
      </c>
      <c r="I545" s="22" t="s">
        <v>14</v>
      </c>
      <c r="J545" s="22">
        <v>4.4000000000000004</v>
      </c>
    </row>
    <row r="546" spans="1:10" x14ac:dyDescent="0.25">
      <c r="A546" s="22" t="s">
        <v>33</v>
      </c>
      <c r="B546" s="22" t="s">
        <v>606</v>
      </c>
      <c r="C546" s="22">
        <v>886</v>
      </c>
      <c r="D546" s="22">
        <v>128</v>
      </c>
      <c r="E546" s="22">
        <v>50</v>
      </c>
      <c r="F546" s="22">
        <v>4000</v>
      </c>
      <c r="G546" s="22">
        <v>5.5</v>
      </c>
      <c r="H546" s="22" t="s">
        <v>21</v>
      </c>
      <c r="I546" s="22" t="s">
        <v>14</v>
      </c>
      <c r="J546" s="22">
        <v>4.8</v>
      </c>
    </row>
    <row r="547" spans="1:10" x14ac:dyDescent="0.25">
      <c r="A547" s="22" t="s">
        <v>33</v>
      </c>
      <c r="B547" s="22" t="s">
        <v>607</v>
      </c>
      <c r="C547" s="22">
        <v>886</v>
      </c>
      <c r="D547" s="22">
        <v>1024</v>
      </c>
      <c r="E547" s="22">
        <v>12</v>
      </c>
      <c r="F547" s="22">
        <v>5000</v>
      </c>
      <c r="G547" s="22">
        <v>6.7</v>
      </c>
      <c r="H547" s="22" t="s">
        <v>21</v>
      </c>
      <c r="I547" s="22" t="s">
        <v>14</v>
      </c>
      <c r="J547" s="22">
        <v>3.6</v>
      </c>
    </row>
    <row r="548" spans="1:10" x14ac:dyDescent="0.25">
      <c r="A548" s="22" t="s">
        <v>91</v>
      </c>
      <c r="B548" s="22" t="s">
        <v>608</v>
      </c>
      <c r="C548" s="22">
        <v>886</v>
      </c>
      <c r="D548" s="22">
        <v>256</v>
      </c>
      <c r="E548" s="22">
        <v>64</v>
      </c>
      <c r="F548" s="22">
        <v>6000</v>
      </c>
      <c r="G548" s="22">
        <v>7.1</v>
      </c>
      <c r="H548" s="22" t="s">
        <v>13</v>
      </c>
      <c r="I548" s="22" t="s">
        <v>14</v>
      </c>
      <c r="J548" s="22">
        <v>4.8</v>
      </c>
    </row>
    <row r="549" spans="1:10" x14ac:dyDescent="0.25">
      <c r="A549" s="22" t="s">
        <v>16</v>
      </c>
      <c r="B549" s="22" t="s">
        <v>609</v>
      </c>
      <c r="C549" s="22">
        <v>888</v>
      </c>
      <c r="D549" s="22">
        <v>128</v>
      </c>
      <c r="E549" s="22">
        <v>12</v>
      </c>
      <c r="F549" s="22">
        <v>5500</v>
      </c>
      <c r="G549" s="22">
        <v>6.6</v>
      </c>
      <c r="H549" s="22" t="s">
        <v>13</v>
      </c>
      <c r="I549" s="22" t="s">
        <v>14</v>
      </c>
      <c r="J549" s="22">
        <v>3.9</v>
      </c>
    </row>
    <row r="550" spans="1:10" x14ac:dyDescent="0.25">
      <c r="A550" s="22" t="s">
        <v>52</v>
      </c>
      <c r="B550" s="22" t="s">
        <v>610</v>
      </c>
      <c r="C550" s="22">
        <v>889</v>
      </c>
      <c r="D550" s="22">
        <v>1024</v>
      </c>
      <c r="E550" s="22">
        <v>50</v>
      </c>
      <c r="F550" s="22">
        <v>5500</v>
      </c>
      <c r="G550" s="22">
        <v>6.5</v>
      </c>
      <c r="H550" s="22" t="s">
        <v>21</v>
      </c>
      <c r="I550" s="22" t="s">
        <v>14</v>
      </c>
      <c r="J550" s="22">
        <v>4.2</v>
      </c>
    </row>
    <row r="551" spans="1:10" x14ac:dyDescent="0.25">
      <c r="A551" s="22" t="s">
        <v>52</v>
      </c>
      <c r="B551" s="22" t="s">
        <v>611</v>
      </c>
      <c r="C551" s="22">
        <v>890</v>
      </c>
      <c r="D551" s="22">
        <v>512</v>
      </c>
      <c r="E551" s="22">
        <v>108</v>
      </c>
      <c r="F551" s="22">
        <v>5000</v>
      </c>
      <c r="G551" s="22">
        <v>6.2</v>
      </c>
      <c r="H551" s="22" t="s">
        <v>21</v>
      </c>
      <c r="I551" s="22" t="s">
        <v>14</v>
      </c>
      <c r="J551" s="22">
        <v>4.9000000000000004</v>
      </c>
    </row>
    <row r="552" spans="1:10" x14ac:dyDescent="0.25">
      <c r="A552" s="22" t="s">
        <v>52</v>
      </c>
      <c r="B552" s="22" t="s">
        <v>612</v>
      </c>
      <c r="C552" s="22">
        <v>892</v>
      </c>
      <c r="D552" s="22">
        <v>1024</v>
      </c>
      <c r="E552" s="22">
        <v>64</v>
      </c>
      <c r="F552" s="22">
        <v>4000</v>
      </c>
      <c r="G552" s="22">
        <v>5.8</v>
      </c>
      <c r="H552" s="22" t="s">
        <v>13</v>
      </c>
      <c r="I552" s="22" t="s">
        <v>14</v>
      </c>
      <c r="J552" s="22">
        <v>4.2</v>
      </c>
    </row>
    <row r="553" spans="1:10" x14ac:dyDescent="0.25">
      <c r="A553" s="22" t="s">
        <v>16</v>
      </c>
      <c r="B553" s="22" t="s">
        <v>613</v>
      </c>
      <c r="C553" s="22">
        <v>892</v>
      </c>
      <c r="D553" s="22">
        <v>1024</v>
      </c>
      <c r="E553" s="22">
        <v>12</v>
      </c>
      <c r="F553" s="22">
        <v>4500</v>
      </c>
      <c r="G553" s="22">
        <v>6.7</v>
      </c>
      <c r="H553" s="22" t="s">
        <v>21</v>
      </c>
      <c r="I553" s="22" t="s">
        <v>14</v>
      </c>
      <c r="J553" s="22">
        <v>4.7</v>
      </c>
    </row>
    <row r="554" spans="1:10" x14ac:dyDescent="0.25">
      <c r="A554" s="22" t="s">
        <v>91</v>
      </c>
      <c r="B554" s="22" t="s">
        <v>614</v>
      </c>
      <c r="C554" s="22">
        <v>894</v>
      </c>
      <c r="D554" s="22">
        <v>128</v>
      </c>
      <c r="E554" s="22">
        <v>48</v>
      </c>
      <c r="F554" s="22">
        <v>5500</v>
      </c>
      <c r="G554" s="22">
        <v>6.9</v>
      </c>
      <c r="H554" s="22" t="s">
        <v>13</v>
      </c>
      <c r="I554" s="22" t="s">
        <v>14</v>
      </c>
      <c r="J554" s="22">
        <v>4.8</v>
      </c>
    </row>
    <row r="555" spans="1:10" x14ac:dyDescent="0.25">
      <c r="A555" s="22" t="s">
        <v>33</v>
      </c>
      <c r="B555" s="22" t="s">
        <v>615</v>
      </c>
      <c r="C555" s="22">
        <v>895</v>
      </c>
      <c r="D555" s="22">
        <v>128</v>
      </c>
      <c r="E555" s="22">
        <v>48</v>
      </c>
      <c r="F555" s="22">
        <v>5000</v>
      </c>
      <c r="G555" s="22">
        <v>7</v>
      </c>
      <c r="H555" s="22" t="s">
        <v>21</v>
      </c>
      <c r="I555" s="22" t="s">
        <v>14</v>
      </c>
      <c r="J555" s="22">
        <v>4.5999999999999996</v>
      </c>
    </row>
    <row r="556" spans="1:10" x14ac:dyDescent="0.25">
      <c r="A556" s="22" t="s">
        <v>11</v>
      </c>
      <c r="B556" s="22" t="s">
        <v>616</v>
      </c>
      <c r="C556" s="22">
        <v>895</v>
      </c>
      <c r="D556" s="22">
        <v>64</v>
      </c>
      <c r="E556" s="22">
        <v>48</v>
      </c>
      <c r="F556" s="22">
        <v>5000</v>
      </c>
      <c r="G556" s="22">
        <v>7</v>
      </c>
      <c r="H556" s="22" t="s">
        <v>13</v>
      </c>
      <c r="I556" s="22" t="s">
        <v>14</v>
      </c>
      <c r="J556" s="22">
        <v>4.5999999999999996</v>
      </c>
    </row>
    <row r="557" spans="1:10" x14ac:dyDescent="0.25">
      <c r="A557" s="22" t="s">
        <v>11</v>
      </c>
      <c r="B557" s="22" t="s">
        <v>617</v>
      </c>
      <c r="C557" s="22">
        <v>896</v>
      </c>
      <c r="D557" s="22">
        <v>128</v>
      </c>
      <c r="E557" s="22">
        <v>50</v>
      </c>
      <c r="F557" s="22">
        <v>4000</v>
      </c>
      <c r="G557" s="22">
        <v>6.2</v>
      </c>
      <c r="H557" s="22" t="s">
        <v>13</v>
      </c>
      <c r="I557" s="22" t="s">
        <v>14</v>
      </c>
      <c r="J557" s="22">
        <v>4.9000000000000004</v>
      </c>
    </row>
    <row r="558" spans="1:10" x14ac:dyDescent="0.25">
      <c r="A558" s="22" t="s">
        <v>91</v>
      </c>
      <c r="B558" s="22" t="s">
        <v>618</v>
      </c>
      <c r="C558" s="22">
        <v>896</v>
      </c>
      <c r="D558" s="22">
        <v>1024</v>
      </c>
      <c r="E558" s="22">
        <v>108</v>
      </c>
      <c r="F558" s="22">
        <v>4000</v>
      </c>
      <c r="G558" s="22">
        <v>6.7</v>
      </c>
      <c r="H558" s="22" t="s">
        <v>13</v>
      </c>
      <c r="I558" s="22" t="s">
        <v>14</v>
      </c>
      <c r="J558" s="22">
        <v>4.5999999999999996</v>
      </c>
    </row>
    <row r="559" spans="1:10" x14ac:dyDescent="0.25">
      <c r="A559" s="22" t="s">
        <v>47</v>
      </c>
      <c r="B559" s="22" t="s">
        <v>186</v>
      </c>
      <c r="C559" s="22">
        <v>897</v>
      </c>
      <c r="D559" s="22">
        <v>128</v>
      </c>
      <c r="E559" s="22">
        <v>200</v>
      </c>
      <c r="F559" s="22">
        <v>6000</v>
      </c>
      <c r="G559" s="22">
        <v>6</v>
      </c>
      <c r="H559" s="22" t="s">
        <v>13</v>
      </c>
      <c r="I559" s="22" t="s">
        <v>14</v>
      </c>
      <c r="J559" s="22">
        <v>4.8</v>
      </c>
    </row>
    <row r="560" spans="1:10" x14ac:dyDescent="0.25">
      <c r="A560" s="22" t="s">
        <v>47</v>
      </c>
      <c r="B560" s="22" t="s">
        <v>619</v>
      </c>
      <c r="C560" s="22">
        <v>898</v>
      </c>
      <c r="D560" s="22">
        <v>512</v>
      </c>
      <c r="E560" s="22">
        <v>64</v>
      </c>
      <c r="F560" s="22">
        <v>5000</v>
      </c>
      <c r="G560" s="22">
        <v>7</v>
      </c>
      <c r="H560" s="22" t="s">
        <v>13</v>
      </c>
      <c r="I560" s="22" t="s">
        <v>14</v>
      </c>
      <c r="J560" s="22">
        <v>5</v>
      </c>
    </row>
    <row r="561" spans="1:10" x14ac:dyDescent="0.25">
      <c r="A561" s="22" t="s">
        <v>91</v>
      </c>
      <c r="B561" s="22" t="s">
        <v>620</v>
      </c>
      <c r="C561" s="22">
        <v>898</v>
      </c>
      <c r="D561" s="22">
        <v>128</v>
      </c>
      <c r="E561" s="22">
        <v>12</v>
      </c>
      <c r="F561" s="22">
        <v>6000</v>
      </c>
      <c r="G561" s="22">
        <v>6.3</v>
      </c>
      <c r="H561" s="22" t="s">
        <v>13</v>
      </c>
      <c r="I561" s="22" t="s">
        <v>14</v>
      </c>
      <c r="J561" s="22">
        <v>4.9000000000000004</v>
      </c>
    </row>
    <row r="562" spans="1:10" x14ac:dyDescent="0.25">
      <c r="A562" s="22" t="s">
        <v>19</v>
      </c>
      <c r="B562" s="22" t="s">
        <v>621</v>
      </c>
      <c r="C562" s="22">
        <v>899</v>
      </c>
      <c r="D562" s="22">
        <v>1024</v>
      </c>
      <c r="E562" s="22">
        <v>64</v>
      </c>
      <c r="F562" s="22">
        <v>4500</v>
      </c>
      <c r="G562" s="22">
        <v>5.9</v>
      </c>
      <c r="H562" s="22" t="s">
        <v>21</v>
      </c>
      <c r="I562" s="22" t="s">
        <v>14</v>
      </c>
      <c r="J562" s="22">
        <v>4.2</v>
      </c>
    </row>
    <row r="563" spans="1:10" x14ac:dyDescent="0.25">
      <c r="A563" s="22" t="s">
        <v>91</v>
      </c>
      <c r="B563" s="22" t="s">
        <v>622</v>
      </c>
      <c r="C563" s="22">
        <v>899</v>
      </c>
      <c r="D563" s="22">
        <v>128</v>
      </c>
      <c r="E563" s="22">
        <v>64</v>
      </c>
      <c r="F563" s="22">
        <v>6000</v>
      </c>
      <c r="G563" s="22">
        <v>5.9</v>
      </c>
      <c r="H563" s="22" t="s">
        <v>21</v>
      </c>
      <c r="I563" s="22" t="s">
        <v>14</v>
      </c>
      <c r="J563" s="22">
        <v>3.9</v>
      </c>
    </row>
    <row r="564" spans="1:10" x14ac:dyDescent="0.25">
      <c r="A564" s="22" t="s">
        <v>91</v>
      </c>
      <c r="B564" s="22" t="s">
        <v>623</v>
      </c>
      <c r="C564" s="22">
        <v>900</v>
      </c>
      <c r="D564" s="22">
        <v>128</v>
      </c>
      <c r="E564" s="22">
        <v>200</v>
      </c>
      <c r="F564" s="22">
        <v>5000</v>
      </c>
      <c r="G564" s="22">
        <v>7.2</v>
      </c>
      <c r="H564" s="22" t="s">
        <v>21</v>
      </c>
      <c r="I564" s="22" t="s">
        <v>14</v>
      </c>
      <c r="J564" s="22">
        <v>3.7</v>
      </c>
    </row>
    <row r="565" spans="1:10" x14ac:dyDescent="0.25">
      <c r="A565" s="22" t="s">
        <v>47</v>
      </c>
      <c r="B565" s="22" t="s">
        <v>624</v>
      </c>
      <c r="C565" s="22">
        <v>901</v>
      </c>
      <c r="D565" s="22">
        <v>64</v>
      </c>
      <c r="E565" s="22">
        <v>48</v>
      </c>
      <c r="F565" s="22">
        <v>4000</v>
      </c>
      <c r="G565" s="22">
        <v>5.7</v>
      </c>
      <c r="H565" s="22" t="s">
        <v>13</v>
      </c>
      <c r="I565" s="22" t="s">
        <v>14</v>
      </c>
      <c r="J565" s="22">
        <v>4.2</v>
      </c>
    </row>
    <row r="566" spans="1:10" x14ac:dyDescent="0.25">
      <c r="A566" s="22" t="s">
        <v>47</v>
      </c>
      <c r="B566" s="22" t="s">
        <v>625</v>
      </c>
      <c r="C566" s="22">
        <v>909</v>
      </c>
      <c r="D566" s="22">
        <v>256</v>
      </c>
      <c r="E566" s="22">
        <v>12</v>
      </c>
      <c r="F566" s="22">
        <v>5500</v>
      </c>
      <c r="G566" s="22">
        <v>5.9</v>
      </c>
      <c r="H566" s="22" t="s">
        <v>13</v>
      </c>
      <c r="I566" s="22" t="s">
        <v>14</v>
      </c>
      <c r="J566" s="22">
        <v>3.9</v>
      </c>
    </row>
    <row r="567" spans="1:10" x14ac:dyDescent="0.25">
      <c r="A567" s="22" t="s">
        <v>19</v>
      </c>
      <c r="B567" s="22" t="s">
        <v>626</v>
      </c>
      <c r="C567" s="22">
        <v>909</v>
      </c>
      <c r="D567" s="22">
        <v>256</v>
      </c>
      <c r="E567" s="22">
        <v>108</v>
      </c>
      <c r="F567" s="22">
        <v>4000</v>
      </c>
      <c r="G567" s="22">
        <v>6.7</v>
      </c>
      <c r="H567" s="22" t="s">
        <v>21</v>
      </c>
      <c r="I567" s="22" t="s">
        <v>14</v>
      </c>
      <c r="J567" s="22">
        <v>3.6</v>
      </c>
    </row>
    <row r="568" spans="1:10" x14ac:dyDescent="0.25">
      <c r="A568" s="22" t="s">
        <v>24</v>
      </c>
      <c r="B568" s="22" t="s">
        <v>627</v>
      </c>
      <c r="C568" s="22">
        <v>910</v>
      </c>
      <c r="D568" s="22">
        <v>1024</v>
      </c>
      <c r="E568" s="22">
        <v>200</v>
      </c>
      <c r="F568" s="22">
        <v>4000</v>
      </c>
      <c r="G568" s="22">
        <v>5.6</v>
      </c>
      <c r="H568" s="22" t="s">
        <v>21</v>
      </c>
      <c r="I568" s="22" t="s">
        <v>14</v>
      </c>
      <c r="J568" s="22">
        <v>4.5999999999999996</v>
      </c>
    </row>
    <row r="569" spans="1:10" x14ac:dyDescent="0.25">
      <c r="A569" s="22" t="s">
        <v>91</v>
      </c>
      <c r="B569" s="22" t="s">
        <v>628</v>
      </c>
      <c r="C569" s="22">
        <v>910</v>
      </c>
      <c r="D569" s="22">
        <v>64</v>
      </c>
      <c r="E569" s="22">
        <v>108</v>
      </c>
      <c r="F569" s="22">
        <v>6000</v>
      </c>
      <c r="G569" s="22">
        <v>6.9</v>
      </c>
      <c r="H569" s="22" t="s">
        <v>21</v>
      </c>
      <c r="I569" s="22" t="s">
        <v>14</v>
      </c>
      <c r="J569" s="22">
        <v>4.0999999999999996</v>
      </c>
    </row>
    <row r="570" spans="1:10" x14ac:dyDescent="0.25">
      <c r="A570" s="22" t="s">
        <v>11</v>
      </c>
      <c r="B570" s="22" t="s">
        <v>629</v>
      </c>
      <c r="C570" s="22">
        <v>910</v>
      </c>
      <c r="D570" s="22">
        <v>512</v>
      </c>
      <c r="E570" s="22">
        <v>108</v>
      </c>
      <c r="F570" s="22">
        <v>5000</v>
      </c>
      <c r="G570" s="22">
        <v>6.8</v>
      </c>
      <c r="H570" s="22" t="s">
        <v>21</v>
      </c>
      <c r="I570" s="22" t="s">
        <v>14</v>
      </c>
      <c r="J570" s="22">
        <v>3.9</v>
      </c>
    </row>
    <row r="571" spans="1:10" x14ac:dyDescent="0.25">
      <c r="A571" s="22" t="s">
        <v>33</v>
      </c>
      <c r="B571" s="22" t="s">
        <v>630</v>
      </c>
      <c r="C571" s="22">
        <v>913</v>
      </c>
      <c r="D571" s="22">
        <v>1024</v>
      </c>
      <c r="E571" s="22">
        <v>48</v>
      </c>
      <c r="F571" s="22">
        <v>5500</v>
      </c>
      <c r="G571" s="22">
        <v>7.1</v>
      </c>
      <c r="H571" s="22" t="s">
        <v>13</v>
      </c>
      <c r="I571" s="22" t="s">
        <v>14</v>
      </c>
      <c r="J571" s="22">
        <v>4.0999999999999996</v>
      </c>
    </row>
    <row r="572" spans="1:10" x14ac:dyDescent="0.25">
      <c r="A572" s="22" t="s">
        <v>91</v>
      </c>
      <c r="B572" s="22" t="s">
        <v>631</v>
      </c>
      <c r="C572" s="22">
        <v>917</v>
      </c>
      <c r="D572" s="22">
        <v>64</v>
      </c>
      <c r="E572" s="22">
        <v>64</v>
      </c>
      <c r="F572" s="22">
        <v>6000</v>
      </c>
      <c r="G572" s="22">
        <v>6.2</v>
      </c>
      <c r="H572" s="22" t="s">
        <v>21</v>
      </c>
      <c r="I572" s="22" t="s">
        <v>14</v>
      </c>
      <c r="J572" s="22">
        <v>3.8</v>
      </c>
    </row>
    <row r="573" spans="1:10" x14ac:dyDescent="0.25">
      <c r="A573" s="22" t="s">
        <v>33</v>
      </c>
      <c r="B573" s="22" t="s">
        <v>632</v>
      </c>
      <c r="C573" s="22">
        <v>918</v>
      </c>
      <c r="D573" s="22">
        <v>1024</v>
      </c>
      <c r="E573" s="22">
        <v>200</v>
      </c>
      <c r="F573" s="22">
        <v>4000</v>
      </c>
      <c r="G573" s="22">
        <v>7.1</v>
      </c>
      <c r="H573" s="22" t="s">
        <v>21</v>
      </c>
      <c r="I573" s="22" t="s">
        <v>14</v>
      </c>
      <c r="J573" s="22">
        <v>4.4000000000000004</v>
      </c>
    </row>
    <row r="574" spans="1:10" x14ac:dyDescent="0.25">
      <c r="A574" s="22" t="s">
        <v>58</v>
      </c>
      <c r="B574" s="22" t="s">
        <v>633</v>
      </c>
      <c r="C574" s="22">
        <v>918</v>
      </c>
      <c r="D574" s="22">
        <v>1024</v>
      </c>
      <c r="E574" s="22">
        <v>64</v>
      </c>
      <c r="F574" s="22">
        <v>4500</v>
      </c>
      <c r="G574" s="22">
        <v>6.7</v>
      </c>
      <c r="H574" s="22" t="s">
        <v>13</v>
      </c>
      <c r="I574" s="22" t="s">
        <v>60</v>
      </c>
      <c r="J574" s="22">
        <v>4.3</v>
      </c>
    </row>
    <row r="575" spans="1:10" x14ac:dyDescent="0.25">
      <c r="A575" s="22" t="s">
        <v>58</v>
      </c>
      <c r="B575" s="22" t="s">
        <v>634</v>
      </c>
      <c r="C575" s="22">
        <v>919</v>
      </c>
      <c r="D575" s="22">
        <v>512</v>
      </c>
      <c r="E575" s="22">
        <v>12</v>
      </c>
      <c r="F575" s="22">
        <v>5500</v>
      </c>
      <c r="G575" s="22">
        <v>7</v>
      </c>
      <c r="H575" s="22" t="s">
        <v>13</v>
      </c>
      <c r="I575" s="22" t="s">
        <v>60</v>
      </c>
      <c r="J575" s="22">
        <v>4</v>
      </c>
    </row>
    <row r="576" spans="1:10" x14ac:dyDescent="0.25">
      <c r="A576" s="22" t="s">
        <v>52</v>
      </c>
      <c r="B576" s="22" t="s">
        <v>635</v>
      </c>
      <c r="C576" s="22">
        <v>920</v>
      </c>
      <c r="D576" s="22">
        <v>256</v>
      </c>
      <c r="E576" s="22">
        <v>200</v>
      </c>
      <c r="F576" s="22">
        <v>4000</v>
      </c>
      <c r="G576" s="22">
        <v>5.5</v>
      </c>
      <c r="H576" s="22" t="s">
        <v>21</v>
      </c>
      <c r="I576" s="22" t="s">
        <v>14</v>
      </c>
      <c r="J576" s="22">
        <v>3.5</v>
      </c>
    </row>
    <row r="577" spans="1:10" x14ac:dyDescent="0.25">
      <c r="A577" s="22" t="s">
        <v>58</v>
      </c>
      <c r="B577" s="22" t="s">
        <v>636</v>
      </c>
      <c r="C577" s="22">
        <v>922</v>
      </c>
      <c r="D577" s="22">
        <v>1024</v>
      </c>
      <c r="E577" s="22">
        <v>108</v>
      </c>
      <c r="F577" s="22">
        <v>5500</v>
      </c>
      <c r="G577" s="22">
        <v>7</v>
      </c>
      <c r="H577" s="22" t="s">
        <v>13</v>
      </c>
      <c r="I577" s="22" t="s">
        <v>60</v>
      </c>
      <c r="J577" s="22">
        <v>4.4000000000000004</v>
      </c>
    </row>
    <row r="578" spans="1:10" x14ac:dyDescent="0.25">
      <c r="A578" s="22" t="s">
        <v>47</v>
      </c>
      <c r="B578" s="22" t="s">
        <v>637</v>
      </c>
      <c r="C578" s="22">
        <v>923</v>
      </c>
      <c r="D578" s="22">
        <v>128</v>
      </c>
      <c r="E578" s="22">
        <v>64</v>
      </c>
      <c r="F578" s="22">
        <v>5000</v>
      </c>
      <c r="G578" s="22">
        <v>5.9</v>
      </c>
      <c r="H578" s="22" t="s">
        <v>13</v>
      </c>
      <c r="I578" s="22" t="s">
        <v>14</v>
      </c>
      <c r="J578" s="22">
        <v>3.9</v>
      </c>
    </row>
    <row r="579" spans="1:10" x14ac:dyDescent="0.25">
      <c r="A579" s="22" t="s">
        <v>47</v>
      </c>
      <c r="B579" s="22" t="s">
        <v>638</v>
      </c>
      <c r="C579" s="22">
        <v>926</v>
      </c>
      <c r="D579" s="22">
        <v>256</v>
      </c>
      <c r="E579" s="22">
        <v>12</v>
      </c>
      <c r="F579" s="22">
        <v>4500</v>
      </c>
      <c r="G579" s="22">
        <v>6.9</v>
      </c>
      <c r="H579" s="22" t="s">
        <v>13</v>
      </c>
      <c r="I579" s="22" t="s">
        <v>14</v>
      </c>
      <c r="J579" s="22">
        <v>4.2</v>
      </c>
    </row>
    <row r="580" spans="1:10" x14ac:dyDescent="0.25">
      <c r="A580" s="22" t="s">
        <v>33</v>
      </c>
      <c r="B580" s="22" t="s">
        <v>639</v>
      </c>
      <c r="C580" s="22">
        <v>926</v>
      </c>
      <c r="D580" s="22">
        <v>1024</v>
      </c>
      <c r="E580" s="22">
        <v>12</v>
      </c>
      <c r="F580" s="22">
        <v>4000</v>
      </c>
      <c r="G580" s="22">
        <v>6.2</v>
      </c>
      <c r="H580" s="22" t="s">
        <v>21</v>
      </c>
      <c r="I580" s="22" t="s">
        <v>14</v>
      </c>
      <c r="J580" s="22">
        <v>3.6</v>
      </c>
    </row>
    <row r="581" spans="1:10" x14ac:dyDescent="0.25">
      <c r="A581" s="22" t="s">
        <v>19</v>
      </c>
      <c r="B581" s="22" t="s">
        <v>640</v>
      </c>
      <c r="C581" s="22">
        <v>927</v>
      </c>
      <c r="D581" s="22">
        <v>128</v>
      </c>
      <c r="E581" s="22">
        <v>64</v>
      </c>
      <c r="F581" s="22">
        <v>6000</v>
      </c>
      <c r="G581" s="22">
        <v>6.8</v>
      </c>
      <c r="H581" s="22" t="s">
        <v>21</v>
      </c>
      <c r="I581" s="22" t="s">
        <v>14</v>
      </c>
      <c r="J581" s="22">
        <v>3.7</v>
      </c>
    </row>
    <row r="582" spans="1:10" x14ac:dyDescent="0.25">
      <c r="A582" s="22" t="s">
        <v>47</v>
      </c>
      <c r="B582" s="22" t="s">
        <v>641</v>
      </c>
      <c r="C582" s="22">
        <v>928</v>
      </c>
      <c r="D582" s="22">
        <v>256</v>
      </c>
      <c r="E582" s="22">
        <v>48</v>
      </c>
      <c r="F582" s="22">
        <v>4000</v>
      </c>
      <c r="G582" s="22">
        <v>6.4</v>
      </c>
      <c r="H582" s="22" t="s">
        <v>21</v>
      </c>
      <c r="I582" s="22" t="s">
        <v>14</v>
      </c>
      <c r="J582" s="22">
        <v>3.8</v>
      </c>
    </row>
    <row r="583" spans="1:10" x14ac:dyDescent="0.25">
      <c r="A583" s="22" t="s">
        <v>19</v>
      </c>
      <c r="B583" s="22" t="s">
        <v>642</v>
      </c>
      <c r="C583" s="22">
        <v>928</v>
      </c>
      <c r="D583" s="22">
        <v>512</v>
      </c>
      <c r="E583" s="22">
        <v>200</v>
      </c>
      <c r="F583" s="22">
        <v>4500</v>
      </c>
      <c r="G583" s="22">
        <v>6.8</v>
      </c>
      <c r="H583" s="22" t="s">
        <v>21</v>
      </c>
      <c r="I583" s="22" t="s">
        <v>14</v>
      </c>
      <c r="J583" s="22">
        <v>4.9000000000000004</v>
      </c>
    </row>
    <row r="584" spans="1:10" x14ac:dyDescent="0.25">
      <c r="A584" s="22" t="s">
        <v>16</v>
      </c>
      <c r="B584" s="22" t="s">
        <v>643</v>
      </c>
      <c r="C584" s="22">
        <v>930</v>
      </c>
      <c r="D584" s="22">
        <v>1024</v>
      </c>
      <c r="E584" s="22">
        <v>64</v>
      </c>
      <c r="F584" s="22">
        <v>5000</v>
      </c>
      <c r="G584" s="22">
        <v>6.3</v>
      </c>
      <c r="H584" s="22" t="s">
        <v>13</v>
      </c>
      <c r="I584" s="22" t="s">
        <v>14</v>
      </c>
      <c r="J584" s="22">
        <v>4.5999999999999996</v>
      </c>
    </row>
    <row r="585" spans="1:10" x14ac:dyDescent="0.25">
      <c r="A585" s="22" t="s">
        <v>33</v>
      </c>
      <c r="B585" s="22" t="s">
        <v>644</v>
      </c>
      <c r="C585" s="22">
        <v>933</v>
      </c>
      <c r="D585" s="22">
        <v>512</v>
      </c>
      <c r="E585" s="22">
        <v>108</v>
      </c>
      <c r="F585" s="22">
        <v>6000</v>
      </c>
      <c r="G585" s="22">
        <v>7.1</v>
      </c>
      <c r="H585" s="22" t="s">
        <v>13</v>
      </c>
      <c r="I585" s="22" t="s">
        <v>14</v>
      </c>
      <c r="J585" s="22">
        <v>4.8</v>
      </c>
    </row>
    <row r="586" spans="1:10" x14ac:dyDescent="0.25">
      <c r="A586" s="22" t="s">
        <v>58</v>
      </c>
      <c r="B586" s="22" t="s">
        <v>645</v>
      </c>
      <c r="C586" s="22">
        <v>933</v>
      </c>
      <c r="D586" s="22">
        <v>1024</v>
      </c>
      <c r="E586" s="22">
        <v>48</v>
      </c>
      <c r="F586" s="22">
        <v>5500</v>
      </c>
      <c r="G586" s="22">
        <v>5.7</v>
      </c>
      <c r="H586" s="22" t="s">
        <v>21</v>
      </c>
      <c r="I586" s="22" t="s">
        <v>60</v>
      </c>
      <c r="J586" s="22">
        <v>3.7</v>
      </c>
    </row>
    <row r="587" spans="1:10" x14ac:dyDescent="0.25">
      <c r="A587" s="22" t="s">
        <v>16</v>
      </c>
      <c r="B587" s="22" t="s">
        <v>646</v>
      </c>
      <c r="C587" s="22">
        <v>933</v>
      </c>
      <c r="D587" s="22">
        <v>512</v>
      </c>
      <c r="E587" s="22">
        <v>108</v>
      </c>
      <c r="F587" s="22">
        <v>4500</v>
      </c>
      <c r="G587" s="22">
        <v>5.9</v>
      </c>
      <c r="H587" s="22" t="s">
        <v>13</v>
      </c>
      <c r="I587" s="22" t="s">
        <v>14</v>
      </c>
      <c r="J587" s="22">
        <v>4.5</v>
      </c>
    </row>
    <row r="588" spans="1:10" x14ac:dyDescent="0.25">
      <c r="A588" s="22" t="s">
        <v>58</v>
      </c>
      <c r="B588" s="22" t="s">
        <v>647</v>
      </c>
      <c r="C588" s="22">
        <v>937</v>
      </c>
      <c r="D588" s="22">
        <v>1024</v>
      </c>
      <c r="E588" s="22">
        <v>12</v>
      </c>
      <c r="F588" s="22">
        <v>6000</v>
      </c>
      <c r="G588" s="22">
        <v>6.3</v>
      </c>
      <c r="H588" s="22" t="s">
        <v>21</v>
      </c>
      <c r="I588" s="22" t="s">
        <v>60</v>
      </c>
      <c r="J588" s="22">
        <v>4.5</v>
      </c>
    </row>
    <row r="589" spans="1:10" x14ac:dyDescent="0.25">
      <c r="A589" s="22" t="s">
        <v>47</v>
      </c>
      <c r="B589" s="22" t="s">
        <v>648</v>
      </c>
      <c r="C589" s="22">
        <v>938</v>
      </c>
      <c r="D589" s="22">
        <v>512</v>
      </c>
      <c r="E589" s="22">
        <v>200</v>
      </c>
      <c r="F589" s="22">
        <v>5000</v>
      </c>
      <c r="G589" s="22">
        <v>6.2</v>
      </c>
      <c r="H589" s="22" t="s">
        <v>13</v>
      </c>
      <c r="I589" s="22" t="s">
        <v>14</v>
      </c>
      <c r="J589" s="22">
        <v>3.7</v>
      </c>
    </row>
    <row r="590" spans="1:10" x14ac:dyDescent="0.25">
      <c r="A590" s="22" t="s">
        <v>11</v>
      </c>
      <c r="B590" s="22" t="s">
        <v>649</v>
      </c>
      <c r="C590" s="22">
        <v>939</v>
      </c>
      <c r="D590" s="22">
        <v>512</v>
      </c>
      <c r="E590" s="22">
        <v>200</v>
      </c>
      <c r="F590" s="22">
        <v>5500</v>
      </c>
      <c r="G590" s="22">
        <v>6.5</v>
      </c>
      <c r="H590" s="22" t="s">
        <v>21</v>
      </c>
      <c r="I590" s="22" t="s">
        <v>14</v>
      </c>
      <c r="J590" s="22">
        <v>5</v>
      </c>
    </row>
    <row r="591" spans="1:10" x14ac:dyDescent="0.25">
      <c r="A591" s="22" t="s">
        <v>11</v>
      </c>
      <c r="B591" s="22" t="s">
        <v>650</v>
      </c>
      <c r="C591" s="22">
        <v>941</v>
      </c>
      <c r="D591" s="22">
        <v>128</v>
      </c>
      <c r="E591" s="22">
        <v>12</v>
      </c>
      <c r="F591" s="22">
        <v>4000</v>
      </c>
      <c r="G591" s="22">
        <v>6.1</v>
      </c>
      <c r="H591" s="22" t="s">
        <v>13</v>
      </c>
      <c r="I591" s="22" t="s">
        <v>14</v>
      </c>
      <c r="J591" s="22">
        <v>4.8</v>
      </c>
    </row>
    <row r="592" spans="1:10" x14ac:dyDescent="0.25">
      <c r="A592" s="22" t="s">
        <v>52</v>
      </c>
      <c r="B592" s="22" t="s">
        <v>651</v>
      </c>
      <c r="C592" s="22">
        <v>947</v>
      </c>
      <c r="D592" s="22">
        <v>128</v>
      </c>
      <c r="E592" s="22">
        <v>12</v>
      </c>
      <c r="F592" s="22">
        <v>6000</v>
      </c>
      <c r="G592" s="22">
        <v>7.2</v>
      </c>
      <c r="H592" s="22" t="s">
        <v>13</v>
      </c>
      <c r="I592" s="22" t="s">
        <v>14</v>
      </c>
      <c r="J592" s="22">
        <v>4.2</v>
      </c>
    </row>
    <row r="593" spans="1:10" x14ac:dyDescent="0.25">
      <c r="A593" s="22" t="s">
        <v>16</v>
      </c>
      <c r="B593" s="22" t="s">
        <v>652</v>
      </c>
      <c r="C593" s="22">
        <v>948</v>
      </c>
      <c r="D593" s="22">
        <v>1024</v>
      </c>
      <c r="E593" s="22">
        <v>12</v>
      </c>
      <c r="F593" s="22">
        <v>5500</v>
      </c>
      <c r="G593" s="22">
        <v>5.9</v>
      </c>
      <c r="H593" s="22" t="s">
        <v>13</v>
      </c>
      <c r="I593" s="22" t="s">
        <v>14</v>
      </c>
      <c r="J593" s="22">
        <v>4.4000000000000004</v>
      </c>
    </row>
    <row r="594" spans="1:10" x14ac:dyDescent="0.25">
      <c r="A594" s="22" t="s">
        <v>52</v>
      </c>
      <c r="B594" s="22" t="s">
        <v>653</v>
      </c>
      <c r="C594" s="22">
        <v>951</v>
      </c>
      <c r="D594" s="22">
        <v>128</v>
      </c>
      <c r="E594" s="22">
        <v>48</v>
      </c>
      <c r="F594" s="22">
        <v>5500</v>
      </c>
      <c r="G594" s="22">
        <v>6</v>
      </c>
      <c r="H594" s="22" t="s">
        <v>21</v>
      </c>
      <c r="I594" s="22" t="s">
        <v>14</v>
      </c>
      <c r="J594" s="22">
        <v>4.4000000000000004</v>
      </c>
    </row>
    <row r="595" spans="1:10" x14ac:dyDescent="0.25">
      <c r="A595" s="22" t="s">
        <v>19</v>
      </c>
      <c r="B595" s="22" t="s">
        <v>654</v>
      </c>
      <c r="C595" s="22">
        <v>951</v>
      </c>
      <c r="D595" s="22">
        <v>256</v>
      </c>
      <c r="E595" s="22">
        <v>108</v>
      </c>
      <c r="F595" s="22">
        <v>4000</v>
      </c>
      <c r="G595" s="22">
        <v>6</v>
      </c>
      <c r="H595" s="22" t="s">
        <v>13</v>
      </c>
      <c r="I595" s="22" t="s">
        <v>14</v>
      </c>
      <c r="J595" s="22">
        <v>4.8</v>
      </c>
    </row>
    <row r="596" spans="1:10" x14ac:dyDescent="0.25">
      <c r="A596" s="22" t="s">
        <v>11</v>
      </c>
      <c r="B596" s="22" t="s">
        <v>655</v>
      </c>
      <c r="C596" s="22">
        <v>951</v>
      </c>
      <c r="D596" s="22">
        <v>256</v>
      </c>
      <c r="E596" s="22">
        <v>200</v>
      </c>
      <c r="F596" s="22">
        <v>5000</v>
      </c>
      <c r="G596" s="22">
        <v>6.1</v>
      </c>
      <c r="H596" s="22" t="s">
        <v>13</v>
      </c>
      <c r="I596" s="22" t="s">
        <v>14</v>
      </c>
      <c r="J596" s="22">
        <v>4</v>
      </c>
    </row>
    <row r="597" spans="1:10" x14ac:dyDescent="0.25">
      <c r="A597" s="22" t="s">
        <v>52</v>
      </c>
      <c r="B597" s="22" t="s">
        <v>656</v>
      </c>
      <c r="C597" s="22">
        <v>952</v>
      </c>
      <c r="D597" s="22">
        <v>256</v>
      </c>
      <c r="E597" s="22">
        <v>50</v>
      </c>
      <c r="F597" s="22">
        <v>4000</v>
      </c>
      <c r="G597" s="22">
        <v>7.1</v>
      </c>
      <c r="H597" s="22" t="s">
        <v>13</v>
      </c>
      <c r="I597" s="22" t="s">
        <v>14</v>
      </c>
      <c r="J597" s="22">
        <v>4.4000000000000004</v>
      </c>
    </row>
    <row r="598" spans="1:10" x14ac:dyDescent="0.25">
      <c r="A598" s="22" t="s">
        <v>19</v>
      </c>
      <c r="B598" s="22" t="s">
        <v>657</v>
      </c>
      <c r="C598" s="22">
        <v>952</v>
      </c>
      <c r="D598" s="22">
        <v>128</v>
      </c>
      <c r="E598" s="22">
        <v>200</v>
      </c>
      <c r="F598" s="22">
        <v>5500</v>
      </c>
      <c r="G598" s="22">
        <v>5.7</v>
      </c>
      <c r="H598" s="22" t="s">
        <v>13</v>
      </c>
      <c r="I598" s="22" t="s">
        <v>14</v>
      </c>
      <c r="J598" s="22">
        <v>4</v>
      </c>
    </row>
    <row r="599" spans="1:10" x14ac:dyDescent="0.25">
      <c r="A599" s="22" t="s">
        <v>16</v>
      </c>
      <c r="B599" s="22" t="s">
        <v>658</v>
      </c>
      <c r="C599" s="22">
        <v>953</v>
      </c>
      <c r="D599" s="22">
        <v>512</v>
      </c>
      <c r="E599" s="22">
        <v>64</v>
      </c>
      <c r="F599" s="22">
        <v>6000</v>
      </c>
      <c r="G599" s="22">
        <v>7.2</v>
      </c>
      <c r="H599" s="22" t="s">
        <v>13</v>
      </c>
      <c r="I599" s="22" t="s">
        <v>14</v>
      </c>
      <c r="J599" s="22">
        <v>4</v>
      </c>
    </row>
    <row r="600" spans="1:10" x14ac:dyDescent="0.25">
      <c r="A600" s="22" t="s">
        <v>11</v>
      </c>
      <c r="B600" s="22" t="s">
        <v>659</v>
      </c>
      <c r="C600" s="22">
        <v>957</v>
      </c>
      <c r="D600" s="22">
        <v>64</v>
      </c>
      <c r="E600" s="22">
        <v>200</v>
      </c>
      <c r="F600" s="22">
        <v>5500</v>
      </c>
      <c r="G600" s="22">
        <v>7</v>
      </c>
      <c r="H600" s="22" t="s">
        <v>13</v>
      </c>
      <c r="I600" s="22" t="s">
        <v>14</v>
      </c>
      <c r="J600" s="22">
        <v>4</v>
      </c>
    </row>
    <row r="601" spans="1:10" x14ac:dyDescent="0.25">
      <c r="A601" s="22" t="s">
        <v>52</v>
      </c>
      <c r="B601" s="22" t="s">
        <v>660</v>
      </c>
      <c r="C601" s="22">
        <v>961</v>
      </c>
      <c r="D601" s="22">
        <v>256</v>
      </c>
      <c r="E601" s="22">
        <v>12</v>
      </c>
      <c r="F601" s="22">
        <v>4000</v>
      </c>
      <c r="G601" s="22">
        <v>5.9</v>
      </c>
      <c r="H601" s="22" t="s">
        <v>21</v>
      </c>
      <c r="I601" s="22" t="s">
        <v>14</v>
      </c>
      <c r="J601" s="22">
        <v>4</v>
      </c>
    </row>
    <row r="602" spans="1:10" x14ac:dyDescent="0.25">
      <c r="A602" s="22" t="s">
        <v>19</v>
      </c>
      <c r="B602" s="22" t="s">
        <v>661</v>
      </c>
      <c r="C602" s="22">
        <v>963</v>
      </c>
      <c r="D602" s="22">
        <v>128</v>
      </c>
      <c r="E602" s="22">
        <v>200</v>
      </c>
      <c r="F602" s="22">
        <v>6000</v>
      </c>
      <c r="G602" s="22">
        <v>6.7</v>
      </c>
      <c r="H602" s="22" t="s">
        <v>21</v>
      </c>
      <c r="I602" s="22" t="s">
        <v>14</v>
      </c>
      <c r="J602" s="22">
        <v>3.9</v>
      </c>
    </row>
    <row r="603" spans="1:10" x14ac:dyDescent="0.25">
      <c r="A603" s="22" t="s">
        <v>52</v>
      </c>
      <c r="B603" s="22" t="s">
        <v>662</v>
      </c>
      <c r="C603" s="22">
        <v>966</v>
      </c>
      <c r="D603" s="22">
        <v>512</v>
      </c>
      <c r="E603" s="22">
        <v>64</v>
      </c>
      <c r="F603" s="22">
        <v>6000</v>
      </c>
      <c r="G603" s="22">
        <v>6.8</v>
      </c>
      <c r="H603" s="22" t="s">
        <v>13</v>
      </c>
      <c r="I603" s="22" t="s">
        <v>14</v>
      </c>
      <c r="J603" s="22">
        <v>4</v>
      </c>
    </row>
    <row r="604" spans="1:10" x14ac:dyDescent="0.25">
      <c r="A604" s="22" t="s">
        <v>52</v>
      </c>
      <c r="B604" s="22" t="s">
        <v>663</v>
      </c>
      <c r="C604" s="22">
        <v>968</v>
      </c>
      <c r="D604" s="22">
        <v>256</v>
      </c>
      <c r="E604" s="22">
        <v>48</v>
      </c>
      <c r="F604" s="22">
        <v>4500</v>
      </c>
      <c r="G604" s="22">
        <v>5.7</v>
      </c>
      <c r="H604" s="22" t="s">
        <v>13</v>
      </c>
      <c r="I604" s="22" t="s">
        <v>14</v>
      </c>
      <c r="J604" s="22">
        <v>4.3</v>
      </c>
    </row>
    <row r="605" spans="1:10" x14ac:dyDescent="0.25">
      <c r="A605" s="22" t="s">
        <v>52</v>
      </c>
      <c r="B605" s="22" t="s">
        <v>664</v>
      </c>
      <c r="C605" s="22">
        <v>969</v>
      </c>
      <c r="D605" s="22">
        <v>256</v>
      </c>
      <c r="E605" s="22">
        <v>108</v>
      </c>
      <c r="F605" s="22">
        <v>6000</v>
      </c>
      <c r="G605" s="22">
        <v>6.8</v>
      </c>
      <c r="H605" s="22" t="s">
        <v>13</v>
      </c>
      <c r="I605" s="22" t="s">
        <v>14</v>
      </c>
      <c r="J605" s="22">
        <v>4.5999999999999996</v>
      </c>
    </row>
    <row r="606" spans="1:10" x14ac:dyDescent="0.25">
      <c r="A606" s="22" t="s">
        <v>47</v>
      </c>
      <c r="B606" s="22" t="s">
        <v>665</v>
      </c>
      <c r="C606" s="22">
        <v>975</v>
      </c>
      <c r="D606" s="22">
        <v>1024</v>
      </c>
      <c r="E606" s="22">
        <v>200</v>
      </c>
      <c r="F606" s="22">
        <v>4000</v>
      </c>
      <c r="G606" s="22">
        <v>5.6</v>
      </c>
      <c r="H606" s="22" t="s">
        <v>13</v>
      </c>
      <c r="I606" s="22" t="s">
        <v>14</v>
      </c>
      <c r="J606" s="22">
        <v>3.6</v>
      </c>
    </row>
    <row r="607" spans="1:10" x14ac:dyDescent="0.25">
      <c r="A607" s="22" t="s">
        <v>19</v>
      </c>
      <c r="B607" s="22" t="s">
        <v>666</v>
      </c>
      <c r="C607" s="22">
        <v>978</v>
      </c>
      <c r="D607" s="22">
        <v>512</v>
      </c>
      <c r="E607" s="22">
        <v>108</v>
      </c>
      <c r="F607" s="22">
        <v>5500</v>
      </c>
      <c r="G607" s="22">
        <v>6.1</v>
      </c>
      <c r="H607" s="22" t="s">
        <v>13</v>
      </c>
      <c r="I607" s="22" t="s">
        <v>14</v>
      </c>
      <c r="J607" s="22">
        <v>3.6</v>
      </c>
    </row>
    <row r="608" spans="1:10" x14ac:dyDescent="0.25">
      <c r="A608" s="22" t="s">
        <v>91</v>
      </c>
      <c r="B608" s="22" t="s">
        <v>667</v>
      </c>
      <c r="C608" s="22">
        <v>979</v>
      </c>
      <c r="D608" s="22">
        <v>512</v>
      </c>
      <c r="E608" s="22">
        <v>200</v>
      </c>
      <c r="F608" s="22">
        <v>5500</v>
      </c>
      <c r="G608" s="22">
        <v>6.6</v>
      </c>
      <c r="H608" s="22" t="s">
        <v>13</v>
      </c>
      <c r="I608" s="22" t="s">
        <v>14</v>
      </c>
      <c r="J608" s="22">
        <v>4.0999999999999996</v>
      </c>
    </row>
    <row r="609" spans="1:10" x14ac:dyDescent="0.25">
      <c r="A609" s="22" t="s">
        <v>52</v>
      </c>
      <c r="B609" s="22" t="s">
        <v>668</v>
      </c>
      <c r="C609" s="22">
        <v>980</v>
      </c>
      <c r="D609" s="22">
        <v>512</v>
      </c>
      <c r="E609" s="22">
        <v>48</v>
      </c>
      <c r="F609" s="22">
        <v>6000</v>
      </c>
      <c r="G609" s="22">
        <v>7.1</v>
      </c>
      <c r="H609" s="22" t="s">
        <v>13</v>
      </c>
      <c r="I609" s="22" t="s">
        <v>14</v>
      </c>
      <c r="J609" s="22">
        <v>3.7</v>
      </c>
    </row>
    <row r="610" spans="1:10" x14ac:dyDescent="0.25">
      <c r="A610" s="22" t="s">
        <v>33</v>
      </c>
      <c r="B610" s="22" t="s">
        <v>669</v>
      </c>
      <c r="C610" s="22">
        <v>981</v>
      </c>
      <c r="D610" s="22">
        <v>256</v>
      </c>
      <c r="E610" s="22">
        <v>50</v>
      </c>
      <c r="F610" s="22">
        <v>4500</v>
      </c>
      <c r="G610" s="22">
        <v>5.8</v>
      </c>
      <c r="H610" s="22" t="s">
        <v>13</v>
      </c>
      <c r="I610" s="22" t="s">
        <v>14</v>
      </c>
      <c r="J610" s="22">
        <v>3.8</v>
      </c>
    </row>
    <row r="611" spans="1:10" x14ac:dyDescent="0.25">
      <c r="A611" s="22" t="s">
        <v>52</v>
      </c>
      <c r="B611" s="22" t="s">
        <v>670</v>
      </c>
      <c r="C611" s="22">
        <v>983</v>
      </c>
      <c r="D611" s="22">
        <v>512</v>
      </c>
      <c r="E611" s="22">
        <v>50</v>
      </c>
      <c r="F611" s="22">
        <v>5000</v>
      </c>
      <c r="G611" s="22">
        <v>6.8</v>
      </c>
      <c r="H611" s="22" t="s">
        <v>21</v>
      </c>
      <c r="I611" s="22" t="s">
        <v>14</v>
      </c>
      <c r="J611" s="22">
        <v>4</v>
      </c>
    </row>
    <row r="612" spans="1:10" x14ac:dyDescent="0.25">
      <c r="A612" s="22" t="s">
        <v>11</v>
      </c>
      <c r="B612" s="22" t="s">
        <v>671</v>
      </c>
      <c r="C612" s="22">
        <v>984</v>
      </c>
      <c r="D612" s="22">
        <v>512</v>
      </c>
      <c r="E612" s="22">
        <v>50</v>
      </c>
      <c r="F612" s="22">
        <v>5500</v>
      </c>
      <c r="G612" s="22">
        <v>6.2</v>
      </c>
      <c r="H612" s="22" t="s">
        <v>13</v>
      </c>
      <c r="I612" s="22" t="s">
        <v>14</v>
      </c>
      <c r="J612" s="22">
        <v>3.6</v>
      </c>
    </row>
    <row r="613" spans="1:10" x14ac:dyDescent="0.25">
      <c r="A613" s="22" t="s">
        <v>33</v>
      </c>
      <c r="B613" s="22" t="s">
        <v>672</v>
      </c>
      <c r="C613" s="22">
        <v>984</v>
      </c>
      <c r="D613" s="22">
        <v>256</v>
      </c>
      <c r="E613" s="22">
        <v>200</v>
      </c>
      <c r="F613" s="22">
        <v>4500</v>
      </c>
      <c r="G613" s="22">
        <v>6.8</v>
      </c>
      <c r="H613" s="22" t="s">
        <v>21</v>
      </c>
      <c r="I613" s="22" t="s">
        <v>14</v>
      </c>
      <c r="J613" s="22">
        <v>4.9000000000000004</v>
      </c>
    </row>
    <row r="614" spans="1:10" x14ac:dyDescent="0.25">
      <c r="A614" s="22" t="s">
        <v>91</v>
      </c>
      <c r="B614" s="22" t="s">
        <v>673</v>
      </c>
      <c r="C614" s="22">
        <v>986</v>
      </c>
      <c r="D614" s="22">
        <v>64</v>
      </c>
      <c r="E614" s="22">
        <v>108</v>
      </c>
      <c r="F614" s="22">
        <v>4000</v>
      </c>
      <c r="G614" s="22">
        <v>5.9</v>
      </c>
      <c r="H614" s="22" t="s">
        <v>13</v>
      </c>
      <c r="I614" s="22" t="s">
        <v>14</v>
      </c>
      <c r="J614" s="22">
        <v>3.9</v>
      </c>
    </row>
    <row r="615" spans="1:10" x14ac:dyDescent="0.25">
      <c r="A615" s="22" t="s">
        <v>91</v>
      </c>
      <c r="B615" s="22" t="s">
        <v>674</v>
      </c>
      <c r="C615" s="22">
        <v>987</v>
      </c>
      <c r="D615" s="22">
        <v>64</v>
      </c>
      <c r="E615" s="22">
        <v>108</v>
      </c>
      <c r="F615" s="22">
        <v>4000</v>
      </c>
      <c r="G615" s="22">
        <v>6.3</v>
      </c>
      <c r="H615" s="22" t="s">
        <v>21</v>
      </c>
      <c r="I615" s="22" t="s">
        <v>14</v>
      </c>
      <c r="J615" s="22">
        <v>4.7</v>
      </c>
    </row>
    <row r="616" spans="1:10" x14ac:dyDescent="0.25">
      <c r="A616" s="22" t="s">
        <v>91</v>
      </c>
      <c r="B616" s="22" t="s">
        <v>675</v>
      </c>
      <c r="C616" s="22">
        <v>991</v>
      </c>
      <c r="D616" s="22">
        <v>128</v>
      </c>
      <c r="E616" s="22">
        <v>48</v>
      </c>
      <c r="F616" s="22">
        <v>5500</v>
      </c>
      <c r="G616" s="22">
        <v>5.8</v>
      </c>
      <c r="H616" s="22" t="s">
        <v>13</v>
      </c>
      <c r="I616" s="22" t="s">
        <v>14</v>
      </c>
      <c r="J616" s="22">
        <v>3.7</v>
      </c>
    </row>
    <row r="617" spans="1:10" x14ac:dyDescent="0.25">
      <c r="A617" s="22" t="s">
        <v>91</v>
      </c>
      <c r="B617" s="22" t="s">
        <v>676</v>
      </c>
      <c r="C617" s="22">
        <v>992</v>
      </c>
      <c r="D617" s="22">
        <v>64</v>
      </c>
      <c r="E617" s="22">
        <v>200</v>
      </c>
      <c r="F617" s="22">
        <v>6000</v>
      </c>
      <c r="G617" s="22">
        <v>5.6</v>
      </c>
      <c r="H617" s="22" t="s">
        <v>13</v>
      </c>
      <c r="I617" s="22" t="s">
        <v>14</v>
      </c>
      <c r="J617" s="22">
        <v>4</v>
      </c>
    </row>
    <row r="618" spans="1:10" x14ac:dyDescent="0.25">
      <c r="A618" s="22" t="s">
        <v>58</v>
      </c>
      <c r="B618" s="22" t="s">
        <v>677</v>
      </c>
      <c r="C618" s="22">
        <v>993</v>
      </c>
      <c r="D618" s="22">
        <v>128</v>
      </c>
      <c r="E618" s="22">
        <v>64</v>
      </c>
      <c r="F618" s="22">
        <v>5000</v>
      </c>
      <c r="G618" s="22">
        <v>5.8</v>
      </c>
      <c r="H618" s="22" t="s">
        <v>21</v>
      </c>
      <c r="I618" s="22" t="s">
        <v>60</v>
      </c>
      <c r="J618" s="22">
        <v>4.5999999999999996</v>
      </c>
    </row>
    <row r="619" spans="1:10" x14ac:dyDescent="0.25">
      <c r="A619" s="22" t="s">
        <v>52</v>
      </c>
      <c r="B619" s="22" t="s">
        <v>678</v>
      </c>
      <c r="C619" s="22">
        <v>994</v>
      </c>
      <c r="D619" s="22">
        <v>1024</v>
      </c>
      <c r="E619" s="22">
        <v>48</v>
      </c>
      <c r="F619" s="22">
        <v>6000</v>
      </c>
      <c r="G619" s="22">
        <v>6.6</v>
      </c>
      <c r="H619" s="22" t="s">
        <v>13</v>
      </c>
      <c r="I619" s="22" t="s">
        <v>14</v>
      </c>
      <c r="J619" s="22">
        <v>4.3</v>
      </c>
    </row>
    <row r="620" spans="1:10" x14ac:dyDescent="0.25">
      <c r="A620" s="22" t="s">
        <v>19</v>
      </c>
      <c r="B620" s="22" t="s">
        <v>679</v>
      </c>
      <c r="C620" s="22">
        <v>997</v>
      </c>
      <c r="D620" s="22">
        <v>128</v>
      </c>
      <c r="E620" s="22">
        <v>200</v>
      </c>
      <c r="F620" s="22">
        <v>6000</v>
      </c>
      <c r="G620" s="22">
        <v>6</v>
      </c>
      <c r="H620" s="22" t="s">
        <v>21</v>
      </c>
      <c r="I620" s="22" t="s">
        <v>14</v>
      </c>
      <c r="J620" s="22">
        <v>3.8</v>
      </c>
    </row>
    <row r="621" spans="1:10" x14ac:dyDescent="0.25">
      <c r="A621" s="22" t="s">
        <v>19</v>
      </c>
      <c r="B621" s="22" t="s">
        <v>680</v>
      </c>
      <c r="C621" s="22">
        <v>997</v>
      </c>
      <c r="D621" s="22">
        <v>1024</v>
      </c>
      <c r="E621" s="22">
        <v>200</v>
      </c>
      <c r="F621" s="22">
        <v>5000</v>
      </c>
      <c r="G621" s="22">
        <v>5.5</v>
      </c>
      <c r="H621" s="22" t="s">
        <v>13</v>
      </c>
      <c r="I621" s="22" t="s">
        <v>14</v>
      </c>
      <c r="J621" s="22">
        <v>4.4000000000000004</v>
      </c>
    </row>
    <row r="622" spans="1:10" x14ac:dyDescent="0.25">
      <c r="A622" s="22" t="s">
        <v>11</v>
      </c>
      <c r="B622" s="22" t="s">
        <v>681</v>
      </c>
      <c r="C622" s="22">
        <v>1003</v>
      </c>
      <c r="D622" s="22">
        <v>64</v>
      </c>
      <c r="E622" s="22">
        <v>12</v>
      </c>
      <c r="F622" s="22">
        <v>5500</v>
      </c>
      <c r="G622" s="22">
        <v>6.1</v>
      </c>
      <c r="H622" s="22" t="s">
        <v>21</v>
      </c>
      <c r="I622" s="22" t="s">
        <v>14</v>
      </c>
      <c r="J622" s="22">
        <v>4</v>
      </c>
    </row>
    <row r="623" spans="1:10" x14ac:dyDescent="0.25">
      <c r="A623" s="22" t="s">
        <v>16</v>
      </c>
      <c r="B623" s="22" t="s">
        <v>682</v>
      </c>
      <c r="C623" s="22">
        <v>1004</v>
      </c>
      <c r="D623" s="22">
        <v>512</v>
      </c>
      <c r="E623" s="22">
        <v>12</v>
      </c>
      <c r="F623" s="22">
        <v>4500</v>
      </c>
      <c r="G623" s="22">
        <v>6</v>
      </c>
      <c r="H623" s="22" t="s">
        <v>13</v>
      </c>
      <c r="I623" s="22" t="s">
        <v>14</v>
      </c>
      <c r="J623" s="22">
        <v>4.5999999999999996</v>
      </c>
    </row>
    <row r="624" spans="1:10" x14ac:dyDescent="0.25">
      <c r="A624" s="22" t="s">
        <v>58</v>
      </c>
      <c r="B624" s="22" t="s">
        <v>683</v>
      </c>
      <c r="C624" s="22">
        <v>1005</v>
      </c>
      <c r="D624" s="22">
        <v>1024</v>
      </c>
      <c r="E624" s="22">
        <v>12</v>
      </c>
      <c r="F624" s="22">
        <v>5000</v>
      </c>
      <c r="G624" s="22">
        <v>6.1</v>
      </c>
      <c r="H624" s="22" t="s">
        <v>21</v>
      </c>
      <c r="I624" s="22" t="s">
        <v>60</v>
      </c>
      <c r="J624" s="22">
        <v>4.5999999999999996</v>
      </c>
    </row>
    <row r="625" spans="1:10" x14ac:dyDescent="0.25">
      <c r="A625" s="22" t="s">
        <v>24</v>
      </c>
      <c r="B625" s="22" t="s">
        <v>684</v>
      </c>
      <c r="C625" s="22">
        <v>1007</v>
      </c>
      <c r="D625" s="22">
        <v>256</v>
      </c>
      <c r="E625" s="22">
        <v>12</v>
      </c>
      <c r="F625" s="22">
        <v>4500</v>
      </c>
      <c r="G625" s="22">
        <v>6.6</v>
      </c>
      <c r="H625" s="22" t="s">
        <v>21</v>
      </c>
      <c r="I625" s="22" t="s">
        <v>14</v>
      </c>
      <c r="J625" s="22">
        <v>4</v>
      </c>
    </row>
    <row r="626" spans="1:10" x14ac:dyDescent="0.25">
      <c r="A626" s="22" t="s">
        <v>16</v>
      </c>
      <c r="B626" s="22" t="s">
        <v>685</v>
      </c>
      <c r="C626" s="22">
        <v>1008</v>
      </c>
      <c r="D626" s="22">
        <v>512</v>
      </c>
      <c r="E626" s="22">
        <v>48</v>
      </c>
      <c r="F626" s="22">
        <v>6000</v>
      </c>
      <c r="G626" s="22">
        <v>5.9</v>
      </c>
      <c r="H626" s="22" t="s">
        <v>13</v>
      </c>
      <c r="I626" s="22" t="s">
        <v>14</v>
      </c>
      <c r="J626" s="22">
        <v>4.3</v>
      </c>
    </row>
    <row r="627" spans="1:10" x14ac:dyDescent="0.25">
      <c r="A627" s="22" t="s">
        <v>19</v>
      </c>
      <c r="B627" s="22" t="s">
        <v>686</v>
      </c>
      <c r="C627" s="22">
        <v>1008</v>
      </c>
      <c r="D627" s="22">
        <v>64</v>
      </c>
      <c r="E627" s="22">
        <v>64</v>
      </c>
      <c r="F627" s="22">
        <v>5000</v>
      </c>
      <c r="G627" s="22">
        <v>5.9</v>
      </c>
      <c r="H627" s="22" t="s">
        <v>13</v>
      </c>
      <c r="I627" s="22" t="s">
        <v>14</v>
      </c>
      <c r="J627" s="22">
        <v>4.2</v>
      </c>
    </row>
    <row r="628" spans="1:10" x14ac:dyDescent="0.25">
      <c r="A628" s="22" t="s">
        <v>33</v>
      </c>
      <c r="B628" s="22" t="s">
        <v>687</v>
      </c>
      <c r="C628" s="22">
        <v>1009</v>
      </c>
      <c r="D628" s="22">
        <v>256</v>
      </c>
      <c r="E628" s="22">
        <v>50</v>
      </c>
      <c r="F628" s="22">
        <v>5000</v>
      </c>
      <c r="G628" s="22">
        <v>5.8</v>
      </c>
      <c r="H628" s="22" t="s">
        <v>13</v>
      </c>
      <c r="I628" s="22" t="s">
        <v>14</v>
      </c>
      <c r="J628" s="22">
        <v>4.8</v>
      </c>
    </row>
    <row r="629" spans="1:10" x14ac:dyDescent="0.25">
      <c r="A629" s="22" t="s">
        <v>33</v>
      </c>
      <c r="B629" s="22" t="s">
        <v>688</v>
      </c>
      <c r="C629" s="22">
        <v>1011</v>
      </c>
      <c r="D629" s="22">
        <v>64</v>
      </c>
      <c r="E629" s="22">
        <v>64</v>
      </c>
      <c r="F629" s="22">
        <v>6000</v>
      </c>
      <c r="G629" s="22">
        <v>6.8</v>
      </c>
      <c r="H629" s="22" t="s">
        <v>21</v>
      </c>
      <c r="I629" s="22" t="s">
        <v>14</v>
      </c>
      <c r="J629" s="22">
        <v>3.5</v>
      </c>
    </row>
    <row r="630" spans="1:10" x14ac:dyDescent="0.25">
      <c r="A630" s="22" t="s">
        <v>16</v>
      </c>
      <c r="B630" s="22" t="s">
        <v>689</v>
      </c>
      <c r="C630" s="22">
        <v>1012</v>
      </c>
      <c r="D630" s="22">
        <v>256</v>
      </c>
      <c r="E630" s="22">
        <v>108</v>
      </c>
      <c r="F630" s="22">
        <v>4000</v>
      </c>
      <c r="G630" s="22">
        <v>6.1</v>
      </c>
      <c r="H630" s="22" t="s">
        <v>13</v>
      </c>
      <c r="I630" s="22" t="s">
        <v>14</v>
      </c>
      <c r="J630" s="22">
        <v>4.9000000000000004</v>
      </c>
    </row>
    <row r="631" spans="1:10" x14ac:dyDescent="0.25">
      <c r="A631" s="22" t="s">
        <v>24</v>
      </c>
      <c r="B631" s="22" t="s">
        <v>690</v>
      </c>
      <c r="C631" s="22">
        <v>1012</v>
      </c>
      <c r="D631" s="22">
        <v>64</v>
      </c>
      <c r="E631" s="22">
        <v>108</v>
      </c>
      <c r="F631" s="22">
        <v>5500</v>
      </c>
      <c r="G631" s="22">
        <v>5.7</v>
      </c>
      <c r="H631" s="22" t="s">
        <v>13</v>
      </c>
      <c r="I631" s="22" t="s">
        <v>14</v>
      </c>
      <c r="J631" s="22">
        <v>4.5999999999999996</v>
      </c>
    </row>
    <row r="632" spans="1:10" x14ac:dyDescent="0.25">
      <c r="A632" s="22" t="s">
        <v>58</v>
      </c>
      <c r="B632" s="22" t="s">
        <v>691</v>
      </c>
      <c r="C632" s="22">
        <v>1014</v>
      </c>
      <c r="D632" s="22">
        <v>64</v>
      </c>
      <c r="E632" s="22">
        <v>12</v>
      </c>
      <c r="F632" s="22">
        <v>4000</v>
      </c>
      <c r="G632" s="22">
        <v>7</v>
      </c>
      <c r="H632" s="22" t="s">
        <v>21</v>
      </c>
      <c r="I632" s="22" t="s">
        <v>60</v>
      </c>
      <c r="J632" s="22">
        <v>4.5999999999999996</v>
      </c>
    </row>
    <row r="633" spans="1:10" x14ac:dyDescent="0.25">
      <c r="A633" s="22" t="s">
        <v>24</v>
      </c>
      <c r="B633" s="22" t="s">
        <v>692</v>
      </c>
      <c r="C633" s="22">
        <v>1019</v>
      </c>
      <c r="D633" s="22">
        <v>128</v>
      </c>
      <c r="E633" s="22">
        <v>200</v>
      </c>
      <c r="F633" s="22">
        <v>6000</v>
      </c>
      <c r="G633" s="22">
        <v>5.8</v>
      </c>
      <c r="H633" s="22" t="s">
        <v>21</v>
      </c>
      <c r="I633" s="22" t="s">
        <v>14</v>
      </c>
      <c r="J633" s="22">
        <v>4</v>
      </c>
    </row>
    <row r="634" spans="1:10" x14ac:dyDescent="0.25">
      <c r="A634" s="22" t="s">
        <v>24</v>
      </c>
      <c r="B634" s="22" t="s">
        <v>693</v>
      </c>
      <c r="C634" s="22">
        <v>1019</v>
      </c>
      <c r="D634" s="22">
        <v>256</v>
      </c>
      <c r="E634" s="22">
        <v>200</v>
      </c>
      <c r="F634" s="22">
        <v>6000</v>
      </c>
      <c r="G634" s="22">
        <v>6.8</v>
      </c>
      <c r="H634" s="22" t="s">
        <v>13</v>
      </c>
      <c r="I634" s="22" t="s">
        <v>14</v>
      </c>
      <c r="J634" s="22">
        <v>3.6</v>
      </c>
    </row>
    <row r="635" spans="1:10" x14ac:dyDescent="0.25">
      <c r="A635" s="22" t="s">
        <v>52</v>
      </c>
      <c r="B635" s="22" t="s">
        <v>694</v>
      </c>
      <c r="C635" s="22">
        <v>1019</v>
      </c>
      <c r="D635" s="22">
        <v>1024</v>
      </c>
      <c r="E635" s="22">
        <v>50</v>
      </c>
      <c r="F635" s="22">
        <v>5500</v>
      </c>
      <c r="G635" s="22">
        <v>6.2</v>
      </c>
      <c r="H635" s="22" t="s">
        <v>13</v>
      </c>
      <c r="I635" s="22" t="s">
        <v>14</v>
      </c>
      <c r="J635" s="22">
        <v>4.0999999999999996</v>
      </c>
    </row>
    <row r="636" spans="1:10" x14ac:dyDescent="0.25">
      <c r="A636" s="22" t="s">
        <v>52</v>
      </c>
      <c r="B636" s="22" t="s">
        <v>695</v>
      </c>
      <c r="C636" s="22">
        <v>1020</v>
      </c>
      <c r="D636" s="22">
        <v>128</v>
      </c>
      <c r="E636" s="22">
        <v>48</v>
      </c>
      <c r="F636" s="22">
        <v>4000</v>
      </c>
      <c r="G636" s="22">
        <v>6</v>
      </c>
      <c r="H636" s="22" t="s">
        <v>13</v>
      </c>
      <c r="I636" s="22" t="s">
        <v>14</v>
      </c>
      <c r="J636" s="22">
        <v>4.4000000000000004</v>
      </c>
    </row>
    <row r="637" spans="1:10" x14ac:dyDescent="0.25">
      <c r="A637" s="22" t="s">
        <v>58</v>
      </c>
      <c r="B637" s="22" t="s">
        <v>696</v>
      </c>
      <c r="C637" s="22">
        <v>1020</v>
      </c>
      <c r="D637" s="22">
        <v>64</v>
      </c>
      <c r="E637" s="22">
        <v>108</v>
      </c>
      <c r="F637" s="22">
        <v>6000</v>
      </c>
      <c r="G637" s="22">
        <v>6.2</v>
      </c>
      <c r="H637" s="22" t="s">
        <v>21</v>
      </c>
      <c r="I637" s="22" t="s">
        <v>60</v>
      </c>
      <c r="J637" s="22">
        <v>4.4000000000000004</v>
      </c>
    </row>
    <row r="638" spans="1:10" x14ac:dyDescent="0.25">
      <c r="A638" s="22" t="s">
        <v>19</v>
      </c>
      <c r="B638" s="22" t="s">
        <v>697</v>
      </c>
      <c r="C638" s="22">
        <v>1021</v>
      </c>
      <c r="D638" s="22">
        <v>128</v>
      </c>
      <c r="E638" s="22">
        <v>108</v>
      </c>
      <c r="F638" s="22">
        <v>5000</v>
      </c>
      <c r="G638" s="22">
        <v>6.6</v>
      </c>
      <c r="H638" s="22" t="s">
        <v>21</v>
      </c>
      <c r="I638" s="22" t="s">
        <v>14</v>
      </c>
      <c r="J638" s="22">
        <v>4.0999999999999996</v>
      </c>
    </row>
    <row r="639" spans="1:10" x14ac:dyDescent="0.25">
      <c r="A639" s="22" t="s">
        <v>24</v>
      </c>
      <c r="B639" s="22" t="s">
        <v>698</v>
      </c>
      <c r="C639" s="22">
        <v>1021</v>
      </c>
      <c r="D639" s="22">
        <v>512</v>
      </c>
      <c r="E639" s="22">
        <v>50</v>
      </c>
      <c r="F639" s="22">
        <v>6000</v>
      </c>
      <c r="G639" s="22">
        <v>6.5</v>
      </c>
      <c r="H639" s="22" t="s">
        <v>21</v>
      </c>
      <c r="I639" s="22" t="s">
        <v>14</v>
      </c>
      <c r="J639" s="22">
        <v>5</v>
      </c>
    </row>
    <row r="640" spans="1:10" x14ac:dyDescent="0.25">
      <c r="A640" s="22" t="s">
        <v>47</v>
      </c>
      <c r="B640" s="22" t="s">
        <v>699</v>
      </c>
      <c r="C640" s="22">
        <v>1022</v>
      </c>
      <c r="D640" s="22">
        <v>1024</v>
      </c>
      <c r="E640" s="22">
        <v>48</v>
      </c>
      <c r="F640" s="22">
        <v>4500</v>
      </c>
      <c r="G640" s="22">
        <v>5.9</v>
      </c>
      <c r="H640" s="22" t="s">
        <v>13</v>
      </c>
      <c r="I640" s="22" t="s">
        <v>14</v>
      </c>
      <c r="J640" s="22">
        <v>4.3</v>
      </c>
    </row>
    <row r="641" spans="1:10" x14ac:dyDescent="0.25">
      <c r="A641" s="22" t="s">
        <v>16</v>
      </c>
      <c r="B641" s="22" t="s">
        <v>700</v>
      </c>
      <c r="C641" s="22">
        <v>1025</v>
      </c>
      <c r="D641" s="22">
        <v>512</v>
      </c>
      <c r="E641" s="22">
        <v>200</v>
      </c>
      <c r="F641" s="22">
        <v>6000</v>
      </c>
      <c r="G641" s="22">
        <v>6.5</v>
      </c>
      <c r="H641" s="22" t="s">
        <v>21</v>
      </c>
      <c r="I641" s="22" t="s">
        <v>14</v>
      </c>
      <c r="J641" s="22">
        <v>4.3</v>
      </c>
    </row>
    <row r="642" spans="1:10" x14ac:dyDescent="0.25">
      <c r="A642" s="22" t="s">
        <v>24</v>
      </c>
      <c r="B642" s="22" t="s">
        <v>701</v>
      </c>
      <c r="C642" s="22">
        <v>1032</v>
      </c>
      <c r="D642" s="22">
        <v>512</v>
      </c>
      <c r="E642" s="22">
        <v>200</v>
      </c>
      <c r="F642" s="22">
        <v>5000</v>
      </c>
      <c r="G642" s="22">
        <v>5.9</v>
      </c>
      <c r="H642" s="22" t="s">
        <v>13</v>
      </c>
      <c r="I642" s="22" t="s">
        <v>14</v>
      </c>
      <c r="J642" s="22">
        <v>4.8</v>
      </c>
    </row>
    <row r="643" spans="1:10" x14ac:dyDescent="0.25">
      <c r="A643" s="22" t="s">
        <v>11</v>
      </c>
      <c r="B643" s="22" t="s">
        <v>702</v>
      </c>
      <c r="C643" s="22">
        <v>1032</v>
      </c>
      <c r="D643" s="22">
        <v>256</v>
      </c>
      <c r="E643" s="22">
        <v>50</v>
      </c>
      <c r="F643" s="22">
        <v>6000</v>
      </c>
      <c r="G643" s="22">
        <v>7</v>
      </c>
      <c r="H643" s="22" t="s">
        <v>13</v>
      </c>
      <c r="I643" s="22" t="s">
        <v>14</v>
      </c>
      <c r="J643" s="22">
        <v>3.9</v>
      </c>
    </row>
    <row r="644" spans="1:10" x14ac:dyDescent="0.25">
      <c r="A644" s="22" t="s">
        <v>47</v>
      </c>
      <c r="B644" s="22" t="s">
        <v>703</v>
      </c>
      <c r="C644" s="22">
        <v>1033</v>
      </c>
      <c r="D644" s="22">
        <v>512</v>
      </c>
      <c r="E644" s="22">
        <v>50</v>
      </c>
      <c r="F644" s="22">
        <v>5500</v>
      </c>
      <c r="G644" s="22">
        <v>6.7</v>
      </c>
      <c r="H644" s="22" t="s">
        <v>13</v>
      </c>
      <c r="I644" s="22" t="s">
        <v>14</v>
      </c>
      <c r="J644" s="22">
        <v>3.5</v>
      </c>
    </row>
    <row r="645" spans="1:10" x14ac:dyDescent="0.25">
      <c r="A645" s="22" t="s">
        <v>91</v>
      </c>
      <c r="B645" s="22" t="s">
        <v>704</v>
      </c>
      <c r="C645" s="22">
        <v>1034</v>
      </c>
      <c r="D645" s="22">
        <v>64</v>
      </c>
      <c r="E645" s="22">
        <v>48</v>
      </c>
      <c r="F645" s="22">
        <v>6000</v>
      </c>
      <c r="G645" s="22">
        <v>6.1</v>
      </c>
      <c r="H645" s="22" t="s">
        <v>13</v>
      </c>
      <c r="I645" s="22" t="s">
        <v>14</v>
      </c>
      <c r="J645" s="22">
        <v>4</v>
      </c>
    </row>
    <row r="646" spans="1:10" x14ac:dyDescent="0.25">
      <c r="A646" s="22" t="s">
        <v>11</v>
      </c>
      <c r="B646" s="22" t="s">
        <v>705</v>
      </c>
      <c r="C646" s="22">
        <v>1034</v>
      </c>
      <c r="D646" s="22">
        <v>512</v>
      </c>
      <c r="E646" s="22">
        <v>64</v>
      </c>
      <c r="F646" s="22">
        <v>5000</v>
      </c>
      <c r="G646" s="22">
        <v>7</v>
      </c>
      <c r="H646" s="22" t="s">
        <v>13</v>
      </c>
      <c r="I646" s="22" t="s">
        <v>14</v>
      </c>
      <c r="J646" s="22">
        <v>3.8</v>
      </c>
    </row>
    <row r="647" spans="1:10" x14ac:dyDescent="0.25">
      <c r="A647" s="22" t="s">
        <v>19</v>
      </c>
      <c r="B647" s="22" t="s">
        <v>706</v>
      </c>
      <c r="C647" s="22">
        <v>1038</v>
      </c>
      <c r="D647" s="22">
        <v>64</v>
      </c>
      <c r="E647" s="22">
        <v>12</v>
      </c>
      <c r="F647" s="22">
        <v>5500</v>
      </c>
      <c r="G647" s="22">
        <v>5.8</v>
      </c>
      <c r="H647" s="22" t="s">
        <v>21</v>
      </c>
      <c r="I647" s="22" t="s">
        <v>14</v>
      </c>
      <c r="J647" s="22">
        <v>3.9</v>
      </c>
    </row>
    <row r="648" spans="1:10" x14ac:dyDescent="0.25">
      <c r="A648" s="22" t="s">
        <v>19</v>
      </c>
      <c r="B648" s="22" t="s">
        <v>707</v>
      </c>
      <c r="C648" s="22">
        <v>1039</v>
      </c>
      <c r="D648" s="22">
        <v>256</v>
      </c>
      <c r="E648" s="22">
        <v>50</v>
      </c>
      <c r="F648" s="22">
        <v>6000</v>
      </c>
      <c r="G648" s="22">
        <v>6</v>
      </c>
      <c r="H648" s="22" t="s">
        <v>21</v>
      </c>
      <c r="I648" s="22" t="s">
        <v>14</v>
      </c>
      <c r="J648" s="22">
        <v>4.5999999999999996</v>
      </c>
    </row>
    <row r="649" spans="1:10" x14ac:dyDescent="0.25">
      <c r="A649" s="22" t="s">
        <v>16</v>
      </c>
      <c r="B649" s="22" t="s">
        <v>708</v>
      </c>
      <c r="C649" s="22">
        <v>1040</v>
      </c>
      <c r="D649" s="22">
        <v>512</v>
      </c>
      <c r="E649" s="22">
        <v>200</v>
      </c>
      <c r="F649" s="22">
        <v>5500</v>
      </c>
      <c r="G649" s="22">
        <v>5.6</v>
      </c>
      <c r="H649" s="22" t="s">
        <v>13</v>
      </c>
      <c r="I649" s="22" t="s">
        <v>14</v>
      </c>
      <c r="J649" s="22">
        <v>3.7</v>
      </c>
    </row>
    <row r="650" spans="1:10" x14ac:dyDescent="0.25">
      <c r="A650" s="22" t="s">
        <v>19</v>
      </c>
      <c r="B650" s="22" t="s">
        <v>709</v>
      </c>
      <c r="C650" s="22">
        <v>1042</v>
      </c>
      <c r="D650" s="22">
        <v>128</v>
      </c>
      <c r="E650" s="22">
        <v>50</v>
      </c>
      <c r="F650" s="22">
        <v>4500</v>
      </c>
      <c r="G650" s="22">
        <v>6.8</v>
      </c>
      <c r="H650" s="22" t="s">
        <v>13</v>
      </c>
      <c r="I650" s="22" t="s">
        <v>14</v>
      </c>
      <c r="J650" s="22">
        <v>3.6</v>
      </c>
    </row>
    <row r="651" spans="1:10" x14ac:dyDescent="0.25">
      <c r="A651" s="22" t="s">
        <v>11</v>
      </c>
      <c r="B651" s="22" t="s">
        <v>710</v>
      </c>
      <c r="C651" s="22">
        <v>1042</v>
      </c>
      <c r="D651" s="22">
        <v>256</v>
      </c>
      <c r="E651" s="22">
        <v>64</v>
      </c>
      <c r="F651" s="22">
        <v>6000</v>
      </c>
      <c r="G651" s="22">
        <v>6.5</v>
      </c>
      <c r="H651" s="22" t="s">
        <v>21</v>
      </c>
      <c r="I651" s="22" t="s">
        <v>14</v>
      </c>
      <c r="J651" s="22">
        <v>4.7</v>
      </c>
    </row>
    <row r="652" spans="1:10" x14ac:dyDescent="0.25">
      <c r="A652" s="22" t="s">
        <v>58</v>
      </c>
      <c r="B652" s="22" t="s">
        <v>711</v>
      </c>
      <c r="C652" s="22">
        <v>1043</v>
      </c>
      <c r="D652" s="22">
        <v>1024</v>
      </c>
      <c r="E652" s="22">
        <v>200</v>
      </c>
      <c r="F652" s="22">
        <v>5500</v>
      </c>
      <c r="G652" s="22">
        <v>5.6</v>
      </c>
      <c r="H652" s="22" t="s">
        <v>13</v>
      </c>
      <c r="I652" s="22" t="s">
        <v>60</v>
      </c>
      <c r="J652" s="22">
        <v>4.3</v>
      </c>
    </row>
    <row r="653" spans="1:10" x14ac:dyDescent="0.25">
      <c r="A653" s="22" t="s">
        <v>11</v>
      </c>
      <c r="B653" s="22" t="s">
        <v>712</v>
      </c>
      <c r="C653" s="22">
        <v>1044</v>
      </c>
      <c r="D653" s="22">
        <v>1024</v>
      </c>
      <c r="E653" s="22">
        <v>64</v>
      </c>
      <c r="F653" s="22">
        <v>6000</v>
      </c>
      <c r="G653" s="22">
        <v>6.9</v>
      </c>
      <c r="H653" s="22" t="s">
        <v>13</v>
      </c>
      <c r="I653" s="22" t="s">
        <v>14</v>
      </c>
      <c r="J653" s="22">
        <v>4.7</v>
      </c>
    </row>
    <row r="654" spans="1:10" x14ac:dyDescent="0.25">
      <c r="A654" s="22" t="s">
        <v>91</v>
      </c>
      <c r="B654" s="22" t="s">
        <v>713</v>
      </c>
      <c r="C654" s="22">
        <v>1045</v>
      </c>
      <c r="D654" s="22">
        <v>256</v>
      </c>
      <c r="E654" s="22">
        <v>48</v>
      </c>
      <c r="F654" s="22">
        <v>4500</v>
      </c>
      <c r="G654" s="22">
        <v>5.5</v>
      </c>
      <c r="H654" s="22" t="s">
        <v>21</v>
      </c>
      <c r="I654" s="22" t="s">
        <v>14</v>
      </c>
      <c r="J654" s="22">
        <v>4</v>
      </c>
    </row>
    <row r="655" spans="1:10" x14ac:dyDescent="0.25">
      <c r="A655" s="22" t="s">
        <v>11</v>
      </c>
      <c r="B655" s="22" t="s">
        <v>714</v>
      </c>
      <c r="C655" s="22">
        <v>1047</v>
      </c>
      <c r="D655" s="22">
        <v>1024</v>
      </c>
      <c r="E655" s="22">
        <v>48</v>
      </c>
      <c r="F655" s="22">
        <v>4000</v>
      </c>
      <c r="G655" s="22">
        <v>7.1</v>
      </c>
      <c r="H655" s="22" t="s">
        <v>13</v>
      </c>
      <c r="I655" s="22" t="s">
        <v>14</v>
      </c>
      <c r="J655" s="22">
        <v>4.2</v>
      </c>
    </row>
    <row r="656" spans="1:10" x14ac:dyDescent="0.25">
      <c r="A656" s="22" t="s">
        <v>47</v>
      </c>
      <c r="B656" s="22" t="s">
        <v>715</v>
      </c>
      <c r="C656" s="22">
        <v>1047</v>
      </c>
      <c r="D656" s="22">
        <v>1024</v>
      </c>
      <c r="E656" s="22">
        <v>12</v>
      </c>
      <c r="F656" s="22">
        <v>4500</v>
      </c>
      <c r="G656" s="22">
        <v>6.2</v>
      </c>
      <c r="H656" s="22" t="s">
        <v>13</v>
      </c>
      <c r="I656" s="22" t="s">
        <v>14</v>
      </c>
      <c r="J656" s="22">
        <v>4.5999999999999996</v>
      </c>
    </row>
    <row r="657" spans="1:10" x14ac:dyDescent="0.25">
      <c r="A657" s="22" t="s">
        <v>33</v>
      </c>
      <c r="B657" s="22" t="s">
        <v>716</v>
      </c>
      <c r="C657" s="22">
        <v>1048</v>
      </c>
      <c r="D657" s="22">
        <v>256</v>
      </c>
      <c r="E657" s="22">
        <v>48</v>
      </c>
      <c r="F657" s="22">
        <v>4500</v>
      </c>
      <c r="G657" s="22">
        <v>7</v>
      </c>
      <c r="H657" s="22" t="s">
        <v>13</v>
      </c>
      <c r="I657" s="22" t="s">
        <v>14</v>
      </c>
      <c r="J657" s="22">
        <v>4.3</v>
      </c>
    </row>
    <row r="658" spans="1:10" x14ac:dyDescent="0.25">
      <c r="A658" s="22" t="s">
        <v>91</v>
      </c>
      <c r="B658" s="22" t="s">
        <v>717</v>
      </c>
      <c r="C658" s="22">
        <v>1049</v>
      </c>
      <c r="D658" s="22">
        <v>1024</v>
      </c>
      <c r="E658" s="22">
        <v>48</v>
      </c>
      <c r="F658" s="22">
        <v>5500</v>
      </c>
      <c r="G658" s="22">
        <v>6.1</v>
      </c>
      <c r="H658" s="22" t="s">
        <v>21</v>
      </c>
      <c r="I658" s="22" t="s">
        <v>14</v>
      </c>
      <c r="J658" s="22">
        <v>4.8</v>
      </c>
    </row>
    <row r="659" spans="1:10" x14ac:dyDescent="0.25">
      <c r="A659" s="22" t="s">
        <v>16</v>
      </c>
      <c r="B659" s="22" t="s">
        <v>718</v>
      </c>
      <c r="C659" s="22">
        <v>1050</v>
      </c>
      <c r="D659" s="22">
        <v>64</v>
      </c>
      <c r="E659" s="22">
        <v>48</v>
      </c>
      <c r="F659" s="22">
        <v>4000</v>
      </c>
      <c r="G659" s="22">
        <v>6.6</v>
      </c>
      <c r="H659" s="22" t="s">
        <v>13</v>
      </c>
      <c r="I659" s="22" t="s">
        <v>14</v>
      </c>
      <c r="J659" s="22">
        <v>3.9</v>
      </c>
    </row>
    <row r="660" spans="1:10" x14ac:dyDescent="0.25">
      <c r="A660" s="22" t="s">
        <v>91</v>
      </c>
      <c r="B660" s="22" t="s">
        <v>719</v>
      </c>
      <c r="C660" s="22">
        <v>1052</v>
      </c>
      <c r="D660" s="22">
        <v>512</v>
      </c>
      <c r="E660" s="22">
        <v>200</v>
      </c>
      <c r="F660" s="22">
        <v>5500</v>
      </c>
      <c r="G660" s="22">
        <v>7.1</v>
      </c>
      <c r="H660" s="22" t="s">
        <v>21</v>
      </c>
      <c r="I660" s="22" t="s">
        <v>14</v>
      </c>
      <c r="J660" s="22">
        <v>4.5999999999999996</v>
      </c>
    </row>
    <row r="661" spans="1:10" x14ac:dyDescent="0.25">
      <c r="A661" s="22" t="s">
        <v>47</v>
      </c>
      <c r="B661" s="22" t="s">
        <v>720</v>
      </c>
      <c r="C661" s="22">
        <v>1053</v>
      </c>
      <c r="D661" s="22">
        <v>512</v>
      </c>
      <c r="E661" s="22">
        <v>12</v>
      </c>
      <c r="F661" s="22">
        <v>5500</v>
      </c>
      <c r="G661" s="22">
        <v>6.9</v>
      </c>
      <c r="H661" s="22" t="s">
        <v>13</v>
      </c>
      <c r="I661" s="22" t="s">
        <v>14</v>
      </c>
      <c r="J661" s="22">
        <v>4.0999999999999996</v>
      </c>
    </row>
    <row r="662" spans="1:10" x14ac:dyDescent="0.25">
      <c r="A662" s="22" t="s">
        <v>19</v>
      </c>
      <c r="B662" s="22" t="s">
        <v>721</v>
      </c>
      <c r="C662" s="22">
        <v>1057</v>
      </c>
      <c r="D662" s="22">
        <v>128</v>
      </c>
      <c r="E662" s="22">
        <v>48</v>
      </c>
      <c r="F662" s="22">
        <v>4000</v>
      </c>
      <c r="G662" s="22">
        <v>6.7</v>
      </c>
      <c r="H662" s="22" t="s">
        <v>13</v>
      </c>
      <c r="I662" s="22" t="s">
        <v>14</v>
      </c>
      <c r="J662" s="22">
        <v>4.7</v>
      </c>
    </row>
    <row r="663" spans="1:10" x14ac:dyDescent="0.25">
      <c r="A663" s="22" t="s">
        <v>58</v>
      </c>
      <c r="B663" s="22" t="s">
        <v>722</v>
      </c>
      <c r="C663" s="22">
        <v>1058</v>
      </c>
      <c r="D663" s="22">
        <v>256</v>
      </c>
      <c r="E663" s="22">
        <v>50</v>
      </c>
      <c r="F663" s="22">
        <v>4500</v>
      </c>
      <c r="G663" s="22">
        <v>6.6</v>
      </c>
      <c r="H663" s="22" t="s">
        <v>13</v>
      </c>
      <c r="I663" s="22" t="s">
        <v>60</v>
      </c>
      <c r="J663" s="22">
        <v>4.4000000000000004</v>
      </c>
    </row>
    <row r="664" spans="1:10" x14ac:dyDescent="0.25">
      <c r="A664" s="22" t="s">
        <v>58</v>
      </c>
      <c r="B664" s="22" t="s">
        <v>723</v>
      </c>
      <c r="C664" s="22">
        <v>1058</v>
      </c>
      <c r="D664" s="22">
        <v>128</v>
      </c>
      <c r="E664" s="22">
        <v>108</v>
      </c>
      <c r="F664" s="22">
        <v>5000</v>
      </c>
      <c r="G664" s="22">
        <v>6.8</v>
      </c>
      <c r="H664" s="22" t="s">
        <v>21</v>
      </c>
      <c r="I664" s="22" t="s">
        <v>60</v>
      </c>
      <c r="J664" s="22">
        <v>4.4000000000000004</v>
      </c>
    </row>
    <row r="665" spans="1:10" x14ac:dyDescent="0.25">
      <c r="A665" s="22" t="s">
        <v>58</v>
      </c>
      <c r="B665" s="22" t="s">
        <v>722</v>
      </c>
      <c r="C665" s="22">
        <v>1058</v>
      </c>
      <c r="D665" s="22">
        <v>64</v>
      </c>
      <c r="E665" s="22">
        <v>48</v>
      </c>
      <c r="F665" s="22">
        <v>5000</v>
      </c>
      <c r="G665" s="22">
        <v>6.8</v>
      </c>
      <c r="H665" s="22" t="s">
        <v>13</v>
      </c>
      <c r="I665" s="22" t="s">
        <v>60</v>
      </c>
      <c r="J665" s="22">
        <v>3.5</v>
      </c>
    </row>
    <row r="666" spans="1:10" x14ac:dyDescent="0.25">
      <c r="A666" s="22" t="s">
        <v>16</v>
      </c>
      <c r="B666" s="22" t="s">
        <v>724</v>
      </c>
      <c r="C666" s="22">
        <v>1059</v>
      </c>
      <c r="D666" s="22">
        <v>256</v>
      </c>
      <c r="E666" s="22">
        <v>12</v>
      </c>
      <c r="F666" s="22">
        <v>4000</v>
      </c>
      <c r="G666" s="22">
        <v>6.5</v>
      </c>
      <c r="H666" s="22" t="s">
        <v>21</v>
      </c>
      <c r="I666" s="22" t="s">
        <v>14</v>
      </c>
      <c r="J666" s="22">
        <v>4.5</v>
      </c>
    </row>
    <row r="667" spans="1:10" x14ac:dyDescent="0.25">
      <c r="A667" s="22" t="s">
        <v>47</v>
      </c>
      <c r="B667" s="22" t="s">
        <v>725</v>
      </c>
      <c r="C667" s="22">
        <v>1060</v>
      </c>
      <c r="D667" s="22">
        <v>1024</v>
      </c>
      <c r="E667" s="22">
        <v>12</v>
      </c>
      <c r="F667" s="22">
        <v>4500</v>
      </c>
      <c r="G667" s="22">
        <v>6.4</v>
      </c>
      <c r="H667" s="22" t="s">
        <v>13</v>
      </c>
      <c r="I667" s="22" t="s">
        <v>14</v>
      </c>
      <c r="J667" s="22">
        <v>4.8</v>
      </c>
    </row>
    <row r="668" spans="1:10" x14ac:dyDescent="0.25">
      <c r="A668" s="22" t="s">
        <v>16</v>
      </c>
      <c r="B668" s="22" t="s">
        <v>726</v>
      </c>
      <c r="C668" s="22">
        <v>1060</v>
      </c>
      <c r="D668" s="22">
        <v>128</v>
      </c>
      <c r="E668" s="22">
        <v>200</v>
      </c>
      <c r="F668" s="22">
        <v>6000</v>
      </c>
      <c r="G668" s="22">
        <v>6.7</v>
      </c>
      <c r="H668" s="22" t="s">
        <v>21</v>
      </c>
      <c r="I668" s="22" t="s">
        <v>14</v>
      </c>
      <c r="J668" s="22">
        <v>4.9000000000000004</v>
      </c>
    </row>
    <row r="669" spans="1:10" x14ac:dyDescent="0.25">
      <c r="A669" s="22" t="s">
        <v>47</v>
      </c>
      <c r="B669" s="22" t="s">
        <v>727</v>
      </c>
      <c r="C669" s="22">
        <v>1061</v>
      </c>
      <c r="D669" s="22">
        <v>512</v>
      </c>
      <c r="E669" s="22">
        <v>108</v>
      </c>
      <c r="F669" s="22">
        <v>4000</v>
      </c>
      <c r="G669" s="22">
        <v>6.1</v>
      </c>
      <c r="H669" s="22" t="s">
        <v>13</v>
      </c>
      <c r="I669" s="22" t="s">
        <v>14</v>
      </c>
      <c r="J669" s="22">
        <v>3.6</v>
      </c>
    </row>
    <row r="670" spans="1:10" x14ac:dyDescent="0.25">
      <c r="A670" s="22" t="s">
        <v>19</v>
      </c>
      <c r="B670" s="22" t="s">
        <v>728</v>
      </c>
      <c r="C670" s="22">
        <v>1062</v>
      </c>
      <c r="D670" s="22">
        <v>256</v>
      </c>
      <c r="E670" s="22">
        <v>12</v>
      </c>
      <c r="F670" s="22">
        <v>5000</v>
      </c>
      <c r="G670" s="22">
        <v>6.6</v>
      </c>
      <c r="H670" s="22" t="s">
        <v>13</v>
      </c>
      <c r="I670" s="22" t="s">
        <v>14</v>
      </c>
      <c r="J670" s="22">
        <v>4.0999999999999996</v>
      </c>
    </row>
    <row r="671" spans="1:10" x14ac:dyDescent="0.25">
      <c r="A671" s="22" t="s">
        <v>47</v>
      </c>
      <c r="B671" s="22" t="s">
        <v>729</v>
      </c>
      <c r="C671" s="22">
        <v>1064</v>
      </c>
      <c r="D671" s="22">
        <v>512</v>
      </c>
      <c r="E671" s="22">
        <v>200</v>
      </c>
      <c r="F671" s="22">
        <v>6000</v>
      </c>
      <c r="G671" s="22">
        <v>6</v>
      </c>
      <c r="H671" s="22" t="s">
        <v>13</v>
      </c>
      <c r="I671" s="22" t="s">
        <v>14</v>
      </c>
      <c r="J671" s="22">
        <v>4.4000000000000004</v>
      </c>
    </row>
    <row r="672" spans="1:10" x14ac:dyDescent="0.25">
      <c r="A672" s="22" t="s">
        <v>16</v>
      </c>
      <c r="B672" s="22" t="s">
        <v>730</v>
      </c>
      <c r="C672" s="22">
        <v>1064</v>
      </c>
      <c r="D672" s="22">
        <v>1024</v>
      </c>
      <c r="E672" s="22">
        <v>108</v>
      </c>
      <c r="F672" s="22">
        <v>5000</v>
      </c>
      <c r="G672" s="22">
        <v>6.7</v>
      </c>
      <c r="H672" s="22" t="s">
        <v>21</v>
      </c>
      <c r="I672" s="22" t="s">
        <v>14</v>
      </c>
      <c r="J672" s="22">
        <v>4.0999999999999996</v>
      </c>
    </row>
    <row r="673" spans="1:10" x14ac:dyDescent="0.25">
      <c r="A673" s="22" t="s">
        <v>24</v>
      </c>
      <c r="B673" s="22" t="s">
        <v>731</v>
      </c>
      <c r="C673" s="22">
        <v>1065</v>
      </c>
      <c r="D673" s="22">
        <v>1024</v>
      </c>
      <c r="E673" s="22">
        <v>200</v>
      </c>
      <c r="F673" s="22">
        <v>6000</v>
      </c>
      <c r="G673" s="22">
        <v>6.2</v>
      </c>
      <c r="H673" s="22" t="s">
        <v>21</v>
      </c>
      <c r="I673" s="22" t="s">
        <v>14</v>
      </c>
      <c r="J673" s="22">
        <v>4.5</v>
      </c>
    </row>
    <row r="674" spans="1:10" x14ac:dyDescent="0.25">
      <c r="A674" s="22" t="s">
        <v>19</v>
      </c>
      <c r="B674" s="22" t="s">
        <v>732</v>
      </c>
      <c r="C674" s="22">
        <v>1067</v>
      </c>
      <c r="D674" s="22">
        <v>512</v>
      </c>
      <c r="E674" s="22">
        <v>50</v>
      </c>
      <c r="F674" s="22">
        <v>5000</v>
      </c>
      <c r="G674" s="22">
        <v>7</v>
      </c>
      <c r="H674" s="22" t="s">
        <v>13</v>
      </c>
      <c r="I674" s="22" t="s">
        <v>14</v>
      </c>
      <c r="J674" s="22">
        <v>4</v>
      </c>
    </row>
    <row r="675" spans="1:10" x14ac:dyDescent="0.25">
      <c r="A675" s="22" t="s">
        <v>52</v>
      </c>
      <c r="B675" s="22" t="s">
        <v>733</v>
      </c>
      <c r="C675" s="22">
        <v>1068</v>
      </c>
      <c r="D675" s="22">
        <v>64</v>
      </c>
      <c r="E675" s="22">
        <v>48</v>
      </c>
      <c r="F675" s="22">
        <v>5500</v>
      </c>
      <c r="G675" s="22">
        <v>6.5</v>
      </c>
      <c r="H675" s="22" t="s">
        <v>21</v>
      </c>
      <c r="I675" s="22" t="s">
        <v>14</v>
      </c>
      <c r="J675" s="22">
        <v>4</v>
      </c>
    </row>
    <row r="676" spans="1:10" x14ac:dyDescent="0.25">
      <c r="A676" s="22" t="s">
        <v>33</v>
      </c>
      <c r="B676" s="22" t="s">
        <v>734</v>
      </c>
      <c r="C676" s="22">
        <v>1069</v>
      </c>
      <c r="D676" s="22">
        <v>1024</v>
      </c>
      <c r="E676" s="22">
        <v>50</v>
      </c>
      <c r="F676" s="22">
        <v>5500</v>
      </c>
      <c r="G676" s="22">
        <v>6.7</v>
      </c>
      <c r="H676" s="22" t="s">
        <v>21</v>
      </c>
      <c r="I676" s="22" t="s">
        <v>14</v>
      </c>
      <c r="J676" s="22">
        <v>4.5</v>
      </c>
    </row>
    <row r="677" spans="1:10" x14ac:dyDescent="0.25">
      <c r="A677" s="22" t="s">
        <v>11</v>
      </c>
      <c r="B677" s="22" t="s">
        <v>735</v>
      </c>
      <c r="C677" s="22">
        <v>1072</v>
      </c>
      <c r="D677" s="22">
        <v>1024</v>
      </c>
      <c r="E677" s="22">
        <v>108</v>
      </c>
      <c r="F677" s="22">
        <v>6000</v>
      </c>
      <c r="G677" s="22">
        <v>6.3</v>
      </c>
      <c r="H677" s="22" t="s">
        <v>13</v>
      </c>
      <c r="I677" s="22" t="s">
        <v>14</v>
      </c>
      <c r="J677" s="22">
        <v>4.2</v>
      </c>
    </row>
    <row r="678" spans="1:10" x14ac:dyDescent="0.25">
      <c r="A678" s="22" t="s">
        <v>52</v>
      </c>
      <c r="B678" s="22" t="s">
        <v>736</v>
      </c>
      <c r="C678" s="22">
        <v>1074</v>
      </c>
      <c r="D678" s="22">
        <v>64</v>
      </c>
      <c r="E678" s="22">
        <v>12</v>
      </c>
      <c r="F678" s="22">
        <v>5500</v>
      </c>
      <c r="G678" s="22">
        <v>6</v>
      </c>
      <c r="H678" s="22" t="s">
        <v>13</v>
      </c>
      <c r="I678" s="22" t="s">
        <v>14</v>
      </c>
      <c r="J678" s="22">
        <v>4</v>
      </c>
    </row>
    <row r="679" spans="1:10" x14ac:dyDescent="0.25">
      <c r="A679" s="22" t="s">
        <v>16</v>
      </c>
      <c r="B679" s="22" t="s">
        <v>737</v>
      </c>
      <c r="C679" s="22">
        <v>1075</v>
      </c>
      <c r="D679" s="22">
        <v>64</v>
      </c>
      <c r="E679" s="22">
        <v>50</v>
      </c>
      <c r="F679" s="22">
        <v>4000</v>
      </c>
      <c r="G679" s="22">
        <v>6.6</v>
      </c>
      <c r="H679" s="22" t="s">
        <v>21</v>
      </c>
      <c r="I679" s="22" t="s">
        <v>14</v>
      </c>
      <c r="J679" s="22">
        <v>4.5999999999999996</v>
      </c>
    </row>
    <row r="680" spans="1:10" x14ac:dyDescent="0.25">
      <c r="A680" s="22" t="s">
        <v>16</v>
      </c>
      <c r="B680" s="22" t="s">
        <v>738</v>
      </c>
      <c r="C680" s="22">
        <v>1075</v>
      </c>
      <c r="D680" s="22">
        <v>1024</v>
      </c>
      <c r="E680" s="22">
        <v>12</v>
      </c>
      <c r="F680" s="22">
        <v>5500</v>
      </c>
      <c r="G680" s="22">
        <v>7.1</v>
      </c>
      <c r="H680" s="22" t="s">
        <v>13</v>
      </c>
      <c r="I680" s="22" t="s">
        <v>14</v>
      </c>
      <c r="J680" s="22">
        <v>3.7</v>
      </c>
    </row>
    <row r="681" spans="1:10" x14ac:dyDescent="0.25">
      <c r="A681" s="22" t="s">
        <v>58</v>
      </c>
      <c r="B681" s="22" t="s">
        <v>739</v>
      </c>
      <c r="C681" s="22">
        <v>1077</v>
      </c>
      <c r="D681" s="22">
        <v>128</v>
      </c>
      <c r="E681" s="22">
        <v>48</v>
      </c>
      <c r="F681" s="22">
        <v>6000</v>
      </c>
      <c r="G681" s="22">
        <v>7.1</v>
      </c>
      <c r="H681" s="22" t="s">
        <v>13</v>
      </c>
      <c r="I681" s="22" t="s">
        <v>60</v>
      </c>
      <c r="J681" s="22">
        <v>4.4000000000000004</v>
      </c>
    </row>
    <row r="682" spans="1:10" x14ac:dyDescent="0.25">
      <c r="A682" s="22" t="s">
        <v>11</v>
      </c>
      <c r="B682" s="22" t="s">
        <v>740</v>
      </c>
      <c r="C682" s="22">
        <v>1078</v>
      </c>
      <c r="D682" s="22">
        <v>128</v>
      </c>
      <c r="E682" s="22">
        <v>64</v>
      </c>
      <c r="F682" s="22">
        <v>4500</v>
      </c>
      <c r="G682" s="22">
        <v>6.6</v>
      </c>
      <c r="H682" s="22" t="s">
        <v>21</v>
      </c>
      <c r="I682" s="22" t="s">
        <v>14</v>
      </c>
      <c r="J682" s="22">
        <v>3.9</v>
      </c>
    </row>
    <row r="683" spans="1:10" x14ac:dyDescent="0.25">
      <c r="A683" s="22" t="s">
        <v>19</v>
      </c>
      <c r="B683" s="22" t="s">
        <v>741</v>
      </c>
      <c r="C683" s="22">
        <v>1079</v>
      </c>
      <c r="D683" s="22">
        <v>128</v>
      </c>
      <c r="E683" s="22">
        <v>108</v>
      </c>
      <c r="F683" s="22">
        <v>6000</v>
      </c>
      <c r="G683" s="22">
        <v>6.6</v>
      </c>
      <c r="H683" s="22" t="s">
        <v>21</v>
      </c>
      <c r="I683" s="22" t="s">
        <v>14</v>
      </c>
      <c r="J683" s="22">
        <v>3.6</v>
      </c>
    </row>
    <row r="684" spans="1:10" x14ac:dyDescent="0.25">
      <c r="A684" s="22" t="s">
        <v>52</v>
      </c>
      <c r="B684" s="22" t="s">
        <v>742</v>
      </c>
      <c r="C684" s="22">
        <v>1080</v>
      </c>
      <c r="D684" s="22">
        <v>1024</v>
      </c>
      <c r="E684" s="22">
        <v>12</v>
      </c>
      <c r="F684" s="22">
        <v>4500</v>
      </c>
      <c r="G684" s="22">
        <v>6.7</v>
      </c>
      <c r="H684" s="22" t="s">
        <v>13</v>
      </c>
      <c r="I684" s="22" t="s">
        <v>14</v>
      </c>
      <c r="J684" s="22">
        <v>4.5</v>
      </c>
    </row>
    <row r="685" spans="1:10" x14ac:dyDescent="0.25">
      <c r="A685" s="22" t="s">
        <v>11</v>
      </c>
      <c r="B685" s="22" t="s">
        <v>743</v>
      </c>
      <c r="C685" s="22">
        <v>1080</v>
      </c>
      <c r="D685" s="22">
        <v>64</v>
      </c>
      <c r="E685" s="22">
        <v>200</v>
      </c>
      <c r="F685" s="22">
        <v>4000</v>
      </c>
      <c r="G685" s="22">
        <v>5.9</v>
      </c>
      <c r="H685" s="22" t="s">
        <v>13</v>
      </c>
      <c r="I685" s="22" t="s">
        <v>14</v>
      </c>
      <c r="J685" s="22">
        <v>4.8</v>
      </c>
    </row>
    <row r="686" spans="1:10" x14ac:dyDescent="0.25">
      <c r="A686" s="22" t="s">
        <v>58</v>
      </c>
      <c r="B686" s="22" t="s">
        <v>744</v>
      </c>
      <c r="C686" s="22">
        <v>1083</v>
      </c>
      <c r="D686" s="22">
        <v>128</v>
      </c>
      <c r="E686" s="22">
        <v>48</v>
      </c>
      <c r="F686" s="22">
        <v>5000</v>
      </c>
      <c r="G686" s="22">
        <v>5.7</v>
      </c>
      <c r="H686" s="22" t="s">
        <v>21</v>
      </c>
      <c r="I686" s="22" t="s">
        <v>60</v>
      </c>
      <c r="J686" s="22">
        <v>3.6</v>
      </c>
    </row>
    <row r="687" spans="1:10" x14ac:dyDescent="0.25">
      <c r="A687" s="22" t="s">
        <v>16</v>
      </c>
      <c r="B687" s="22" t="s">
        <v>745</v>
      </c>
      <c r="C687" s="22">
        <v>1083</v>
      </c>
      <c r="D687" s="22">
        <v>128</v>
      </c>
      <c r="E687" s="22">
        <v>50</v>
      </c>
      <c r="F687" s="22">
        <v>4000</v>
      </c>
      <c r="G687" s="22">
        <v>5.7</v>
      </c>
      <c r="H687" s="22" t="s">
        <v>21</v>
      </c>
      <c r="I687" s="22" t="s">
        <v>14</v>
      </c>
      <c r="J687" s="22">
        <v>4.4000000000000004</v>
      </c>
    </row>
    <row r="688" spans="1:10" x14ac:dyDescent="0.25">
      <c r="A688" s="22" t="s">
        <v>91</v>
      </c>
      <c r="B688" s="22" t="s">
        <v>746</v>
      </c>
      <c r="C688" s="22">
        <v>1084</v>
      </c>
      <c r="D688" s="22">
        <v>128</v>
      </c>
      <c r="E688" s="22">
        <v>50</v>
      </c>
      <c r="F688" s="22">
        <v>6000</v>
      </c>
      <c r="G688" s="22">
        <v>6.6</v>
      </c>
      <c r="H688" s="22" t="s">
        <v>13</v>
      </c>
      <c r="I688" s="22" t="s">
        <v>14</v>
      </c>
      <c r="J688" s="22">
        <v>5</v>
      </c>
    </row>
    <row r="689" spans="1:10" x14ac:dyDescent="0.25">
      <c r="A689" s="22" t="s">
        <v>16</v>
      </c>
      <c r="B689" s="22" t="s">
        <v>747</v>
      </c>
      <c r="C689" s="22">
        <v>1085</v>
      </c>
      <c r="D689" s="22">
        <v>512</v>
      </c>
      <c r="E689" s="22">
        <v>48</v>
      </c>
      <c r="F689" s="22">
        <v>4000</v>
      </c>
      <c r="G689" s="22">
        <v>6.1</v>
      </c>
      <c r="H689" s="22" t="s">
        <v>21</v>
      </c>
      <c r="I689" s="22" t="s">
        <v>14</v>
      </c>
      <c r="J689" s="22">
        <v>4.7</v>
      </c>
    </row>
    <row r="690" spans="1:10" x14ac:dyDescent="0.25">
      <c r="A690" s="22" t="s">
        <v>58</v>
      </c>
      <c r="B690" s="22" t="s">
        <v>748</v>
      </c>
      <c r="C690" s="22">
        <v>1087</v>
      </c>
      <c r="D690" s="22">
        <v>128</v>
      </c>
      <c r="E690" s="22">
        <v>64</v>
      </c>
      <c r="F690" s="22">
        <v>6000</v>
      </c>
      <c r="G690" s="22">
        <v>6.9</v>
      </c>
      <c r="H690" s="22" t="s">
        <v>21</v>
      </c>
      <c r="I690" s="22" t="s">
        <v>60</v>
      </c>
      <c r="J690" s="22">
        <v>3.7</v>
      </c>
    </row>
    <row r="691" spans="1:10" x14ac:dyDescent="0.25">
      <c r="A691" s="22" t="s">
        <v>24</v>
      </c>
      <c r="B691" s="22" t="s">
        <v>749</v>
      </c>
      <c r="C691" s="22">
        <v>1088</v>
      </c>
      <c r="D691" s="22">
        <v>64</v>
      </c>
      <c r="E691" s="22">
        <v>12</v>
      </c>
      <c r="F691" s="22">
        <v>6000</v>
      </c>
      <c r="G691" s="22">
        <v>6.5</v>
      </c>
      <c r="H691" s="22" t="s">
        <v>21</v>
      </c>
      <c r="I691" s="22" t="s">
        <v>14</v>
      </c>
      <c r="J691" s="22">
        <v>4.0999999999999996</v>
      </c>
    </row>
    <row r="692" spans="1:10" x14ac:dyDescent="0.25">
      <c r="A692" s="22" t="s">
        <v>24</v>
      </c>
      <c r="B692" s="22" t="s">
        <v>750</v>
      </c>
      <c r="C692" s="22">
        <v>1090</v>
      </c>
      <c r="D692" s="22">
        <v>128</v>
      </c>
      <c r="E692" s="22">
        <v>200</v>
      </c>
      <c r="F692" s="22">
        <v>5000</v>
      </c>
      <c r="G692" s="22">
        <v>6.7</v>
      </c>
      <c r="H692" s="22" t="s">
        <v>13</v>
      </c>
      <c r="I692" s="22" t="s">
        <v>14</v>
      </c>
      <c r="J692" s="22">
        <v>4.4000000000000004</v>
      </c>
    </row>
    <row r="693" spans="1:10" x14ac:dyDescent="0.25">
      <c r="A693" s="22" t="s">
        <v>91</v>
      </c>
      <c r="B693" s="22" t="s">
        <v>751</v>
      </c>
      <c r="C693" s="22">
        <v>1093</v>
      </c>
      <c r="D693" s="22">
        <v>1024</v>
      </c>
      <c r="E693" s="22">
        <v>200</v>
      </c>
      <c r="F693" s="22">
        <v>4000</v>
      </c>
      <c r="G693" s="22">
        <v>5.6</v>
      </c>
      <c r="H693" s="22" t="s">
        <v>21</v>
      </c>
      <c r="I693" s="22" t="s">
        <v>14</v>
      </c>
      <c r="J693" s="22">
        <v>4.0999999999999996</v>
      </c>
    </row>
    <row r="694" spans="1:10" x14ac:dyDescent="0.25">
      <c r="A694" s="22" t="s">
        <v>19</v>
      </c>
      <c r="B694" s="22" t="s">
        <v>752</v>
      </c>
      <c r="C694" s="22">
        <v>1094</v>
      </c>
      <c r="D694" s="22">
        <v>256</v>
      </c>
      <c r="E694" s="22">
        <v>50</v>
      </c>
      <c r="F694" s="22">
        <v>4000</v>
      </c>
      <c r="G694" s="22">
        <v>6</v>
      </c>
      <c r="H694" s="22" t="s">
        <v>13</v>
      </c>
      <c r="I694" s="22" t="s">
        <v>14</v>
      </c>
      <c r="J694" s="22">
        <v>4.0999999999999996</v>
      </c>
    </row>
    <row r="695" spans="1:10" x14ac:dyDescent="0.25">
      <c r="A695" s="22" t="s">
        <v>91</v>
      </c>
      <c r="B695" s="22" t="s">
        <v>753</v>
      </c>
      <c r="C695" s="22">
        <v>1095</v>
      </c>
      <c r="D695" s="22">
        <v>1024</v>
      </c>
      <c r="E695" s="22">
        <v>108</v>
      </c>
      <c r="F695" s="22">
        <v>5500</v>
      </c>
      <c r="G695" s="22">
        <v>7.1</v>
      </c>
      <c r="H695" s="22" t="s">
        <v>21</v>
      </c>
      <c r="I695" s="22" t="s">
        <v>14</v>
      </c>
      <c r="J695" s="22">
        <v>4.9000000000000004</v>
      </c>
    </row>
    <row r="696" spans="1:10" x14ac:dyDescent="0.25">
      <c r="A696" s="22" t="s">
        <v>52</v>
      </c>
      <c r="B696" s="22" t="s">
        <v>754</v>
      </c>
      <c r="C696" s="22">
        <v>1098</v>
      </c>
      <c r="D696" s="22">
        <v>128</v>
      </c>
      <c r="E696" s="22">
        <v>12</v>
      </c>
      <c r="F696" s="22">
        <v>5000</v>
      </c>
      <c r="G696" s="22">
        <v>7</v>
      </c>
      <c r="H696" s="22" t="s">
        <v>13</v>
      </c>
      <c r="I696" s="22" t="s">
        <v>14</v>
      </c>
      <c r="J696" s="22">
        <v>4.5</v>
      </c>
    </row>
    <row r="697" spans="1:10" x14ac:dyDescent="0.25">
      <c r="A697" s="22" t="s">
        <v>58</v>
      </c>
      <c r="B697" s="22" t="s">
        <v>755</v>
      </c>
      <c r="C697" s="22">
        <v>1100</v>
      </c>
      <c r="D697" s="22">
        <v>128</v>
      </c>
      <c r="E697" s="22">
        <v>64</v>
      </c>
      <c r="F697" s="22">
        <v>5500</v>
      </c>
      <c r="G697" s="22">
        <v>6.1</v>
      </c>
      <c r="H697" s="22" t="s">
        <v>21</v>
      </c>
      <c r="I697" s="22" t="s">
        <v>60</v>
      </c>
      <c r="J697" s="22">
        <v>3.7</v>
      </c>
    </row>
    <row r="698" spans="1:10" x14ac:dyDescent="0.25">
      <c r="A698" s="22" t="s">
        <v>52</v>
      </c>
      <c r="B698" s="22" t="s">
        <v>756</v>
      </c>
      <c r="C698" s="22">
        <v>1100</v>
      </c>
      <c r="D698" s="22">
        <v>128</v>
      </c>
      <c r="E698" s="22">
        <v>50</v>
      </c>
      <c r="F698" s="22">
        <v>5000</v>
      </c>
      <c r="G698" s="22">
        <v>7.1</v>
      </c>
      <c r="H698" s="22" t="s">
        <v>21</v>
      </c>
      <c r="I698" s="22" t="s">
        <v>14</v>
      </c>
      <c r="J698" s="22">
        <v>4</v>
      </c>
    </row>
    <row r="699" spans="1:10" x14ac:dyDescent="0.25">
      <c r="A699" s="22" t="s">
        <v>24</v>
      </c>
      <c r="B699" s="22" t="s">
        <v>757</v>
      </c>
      <c r="C699" s="22">
        <v>1100</v>
      </c>
      <c r="D699" s="22">
        <v>64</v>
      </c>
      <c r="E699" s="22">
        <v>64</v>
      </c>
      <c r="F699" s="22">
        <v>4500</v>
      </c>
      <c r="G699" s="22">
        <v>6.1</v>
      </c>
      <c r="H699" s="22" t="s">
        <v>21</v>
      </c>
      <c r="I699" s="22" t="s">
        <v>14</v>
      </c>
      <c r="J699" s="22">
        <v>3.6</v>
      </c>
    </row>
    <row r="700" spans="1:10" x14ac:dyDescent="0.25">
      <c r="A700" s="22" t="s">
        <v>52</v>
      </c>
      <c r="B700" s="22" t="s">
        <v>758</v>
      </c>
      <c r="C700" s="22">
        <v>1103</v>
      </c>
      <c r="D700" s="22">
        <v>64</v>
      </c>
      <c r="E700" s="22">
        <v>108</v>
      </c>
      <c r="F700" s="22">
        <v>6000</v>
      </c>
      <c r="G700" s="22">
        <v>5.7</v>
      </c>
      <c r="H700" s="22" t="s">
        <v>13</v>
      </c>
      <c r="I700" s="22" t="s">
        <v>14</v>
      </c>
      <c r="J700" s="22">
        <v>4.0999999999999996</v>
      </c>
    </row>
    <row r="701" spans="1:10" x14ac:dyDescent="0.25">
      <c r="A701" s="22" t="s">
        <v>11</v>
      </c>
      <c r="B701" s="22" t="s">
        <v>759</v>
      </c>
      <c r="C701" s="22">
        <v>1106</v>
      </c>
      <c r="D701" s="22">
        <v>64</v>
      </c>
      <c r="E701" s="22">
        <v>200</v>
      </c>
      <c r="F701" s="22">
        <v>5500</v>
      </c>
      <c r="G701" s="22">
        <v>6.1</v>
      </c>
      <c r="H701" s="22" t="s">
        <v>13</v>
      </c>
      <c r="I701" s="22" t="s">
        <v>14</v>
      </c>
      <c r="J701" s="22">
        <v>4.8</v>
      </c>
    </row>
    <row r="702" spans="1:10" x14ac:dyDescent="0.25">
      <c r="A702" s="22" t="s">
        <v>16</v>
      </c>
      <c r="B702" s="22" t="s">
        <v>760</v>
      </c>
      <c r="C702" s="22">
        <v>1107</v>
      </c>
      <c r="D702" s="22">
        <v>1024</v>
      </c>
      <c r="E702" s="22">
        <v>48</v>
      </c>
      <c r="F702" s="22">
        <v>5000</v>
      </c>
      <c r="G702" s="22">
        <v>6.8</v>
      </c>
      <c r="H702" s="22" t="s">
        <v>13</v>
      </c>
      <c r="I702" s="22" t="s">
        <v>14</v>
      </c>
      <c r="J702" s="22">
        <v>4.2</v>
      </c>
    </row>
    <row r="703" spans="1:10" x14ac:dyDescent="0.25">
      <c r="A703" s="22" t="s">
        <v>52</v>
      </c>
      <c r="B703" s="22" t="s">
        <v>761</v>
      </c>
      <c r="C703" s="22">
        <v>1107</v>
      </c>
      <c r="D703" s="22">
        <v>256</v>
      </c>
      <c r="E703" s="22">
        <v>108</v>
      </c>
      <c r="F703" s="22">
        <v>6000</v>
      </c>
      <c r="G703" s="22">
        <v>6</v>
      </c>
      <c r="H703" s="22" t="s">
        <v>21</v>
      </c>
      <c r="I703" s="22" t="s">
        <v>14</v>
      </c>
      <c r="J703" s="22">
        <v>4</v>
      </c>
    </row>
    <row r="704" spans="1:10" x14ac:dyDescent="0.25">
      <c r="A704" s="22" t="s">
        <v>58</v>
      </c>
      <c r="B704" s="22" t="s">
        <v>762</v>
      </c>
      <c r="C704" s="22">
        <v>1109</v>
      </c>
      <c r="D704" s="22">
        <v>128</v>
      </c>
      <c r="E704" s="22">
        <v>12</v>
      </c>
      <c r="F704" s="22">
        <v>5500</v>
      </c>
      <c r="G704" s="22">
        <v>6.6</v>
      </c>
      <c r="H704" s="22" t="s">
        <v>13</v>
      </c>
      <c r="I704" s="22" t="s">
        <v>60</v>
      </c>
      <c r="J704" s="22">
        <v>3.6</v>
      </c>
    </row>
    <row r="705" spans="1:10" x14ac:dyDescent="0.25">
      <c r="A705" s="22" t="s">
        <v>91</v>
      </c>
      <c r="B705" s="22" t="s">
        <v>763</v>
      </c>
      <c r="C705" s="22">
        <v>1109</v>
      </c>
      <c r="D705" s="22">
        <v>64</v>
      </c>
      <c r="E705" s="22">
        <v>108</v>
      </c>
      <c r="F705" s="22">
        <v>6000</v>
      </c>
      <c r="G705" s="22">
        <v>6.1</v>
      </c>
      <c r="H705" s="22" t="s">
        <v>21</v>
      </c>
      <c r="I705" s="22" t="s">
        <v>14</v>
      </c>
      <c r="J705" s="22">
        <v>3.9</v>
      </c>
    </row>
    <row r="706" spans="1:10" x14ac:dyDescent="0.25">
      <c r="A706" s="22" t="s">
        <v>11</v>
      </c>
      <c r="B706" s="22" t="s">
        <v>764</v>
      </c>
      <c r="C706" s="22">
        <v>1111</v>
      </c>
      <c r="D706" s="22">
        <v>256</v>
      </c>
      <c r="E706" s="22">
        <v>64</v>
      </c>
      <c r="F706" s="22">
        <v>5000</v>
      </c>
      <c r="G706" s="22">
        <v>6.4</v>
      </c>
      <c r="H706" s="22" t="s">
        <v>13</v>
      </c>
      <c r="I706" s="22" t="s">
        <v>14</v>
      </c>
      <c r="J706" s="22">
        <v>4.4000000000000004</v>
      </c>
    </row>
    <row r="707" spans="1:10" x14ac:dyDescent="0.25">
      <c r="A707" s="22" t="s">
        <v>11</v>
      </c>
      <c r="B707" s="22" t="s">
        <v>765</v>
      </c>
      <c r="C707" s="22">
        <v>1111</v>
      </c>
      <c r="D707" s="22">
        <v>256</v>
      </c>
      <c r="E707" s="22">
        <v>108</v>
      </c>
      <c r="F707" s="22">
        <v>5500</v>
      </c>
      <c r="G707" s="22">
        <v>6.4</v>
      </c>
      <c r="H707" s="22" t="s">
        <v>21</v>
      </c>
      <c r="I707" s="22" t="s">
        <v>14</v>
      </c>
      <c r="J707" s="22">
        <v>3.6</v>
      </c>
    </row>
    <row r="708" spans="1:10" x14ac:dyDescent="0.25">
      <c r="A708" s="22" t="s">
        <v>24</v>
      </c>
      <c r="B708" s="22" t="s">
        <v>766</v>
      </c>
      <c r="C708" s="22">
        <v>1111</v>
      </c>
      <c r="D708" s="22">
        <v>128</v>
      </c>
      <c r="E708" s="22">
        <v>64</v>
      </c>
      <c r="F708" s="22">
        <v>4500</v>
      </c>
      <c r="G708" s="22">
        <v>6.3</v>
      </c>
      <c r="H708" s="22" t="s">
        <v>13</v>
      </c>
      <c r="I708" s="22" t="s">
        <v>14</v>
      </c>
      <c r="J708" s="22">
        <v>4.7</v>
      </c>
    </row>
    <row r="709" spans="1:10" x14ac:dyDescent="0.25">
      <c r="A709" s="22" t="s">
        <v>24</v>
      </c>
      <c r="B709" s="22" t="s">
        <v>767</v>
      </c>
      <c r="C709" s="22">
        <v>1116</v>
      </c>
      <c r="D709" s="22">
        <v>64</v>
      </c>
      <c r="E709" s="22">
        <v>200</v>
      </c>
      <c r="F709" s="22">
        <v>5000</v>
      </c>
      <c r="G709" s="22">
        <v>7.1</v>
      </c>
      <c r="H709" s="22" t="s">
        <v>13</v>
      </c>
      <c r="I709" s="22" t="s">
        <v>14</v>
      </c>
      <c r="J709" s="22">
        <v>4.8</v>
      </c>
    </row>
    <row r="710" spans="1:10" x14ac:dyDescent="0.25">
      <c r="A710" s="22" t="s">
        <v>33</v>
      </c>
      <c r="B710" s="22" t="s">
        <v>768</v>
      </c>
      <c r="C710" s="22">
        <v>1118</v>
      </c>
      <c r="D710" s="22">
        <v>64</v>
      </c>
      <c r="E710" s="22">
        <v>200</v>
      </c>
      <c r="F710" s="22">
        <v>4000</v>
      </c>
      <c r="G710" s="22">
        <v>5.6</v>
      </c>
      <c r="H710" s="22" t="s">
        <v>13</v>
      </c>
      <c r="I710" s="22" t="s">
        <v>14</v>
      </c>
      <c r="J710" s="22">
        <v>4.3</v>
      </c>
    </row>
    <row r="711" spans="1:10" x14ac:dyDescent="0.25">
      <c r="A711" s="22" t="s">
        <v>52</v>
      </c>
      <c r="B711" s="22" t="s">
        <v>769</v>
      </c>
      <c r="C711" s="22">
        <v>1119</v>
      </c>
      <c r="D711" s="22">
        <v>1024</v>
      </c>
      <c r="E711" s="22">
        <v>108</v>
      </c>
      <c r="F711" s="22">
        <v>5000</v>
      </c>
      <c r="G711" s="22">
        <v>6.1</v>
      </c>
      <c r="H711" s="22" t="s">
        <v>13</v>
      </c>
      <c r="I711" s="22" t="s">
        <v>14</v>
      </c>
      <c r="J711" s="22">
        <v>3.8</v>
      </c>
    </row>
    <row r="712" spans="1:10" x14ac:dyDescent="0.25">
      <c r="A712" s="22" t="s">
        <v>33</v>
      </c>
      <c r="B712" s="22" t="s">
        <v>770</v>
      </c>
      <c r="C712" s="22">
        <v>1119</v>
      </c>
      <c r="D712" s="22">
        <v>512</v>
      </c>
      <c r="E712" s="22">
        <v>64</v>
      </c>
      <c r="F712" s="22">
        <v>5000</v>
      </c>
      <c r="G712" s="22">
        <v>7.1</v>
      </c>
      <c r="H712" s="22" t="s">
        <v>21</v>
      </c>
      <c r="I712" s="22" t="s">
        <v>14</v>
      </c>
      <c r="J712" s="22">
        <v>3.7</v>
      </c>
    </row>
    <row r="713" spans="1:10" x14ac:dyDescent="0.25">
      <c r="A713" s="22" t="s">
        <v>47</v>
      </c>
      <c r="B713" s="22" t="s">
        <v>771</v>
      </c>
      <c r="C713" s="22">
        <v>1121</v>
      </c>
      <c r="D713" s="22">
        <v>128</v>
      </c>
      <c r="E713" s="22">
        <v>200</v>
      </c>
      <c r="F713" s="22">
        <v>4500</v>
      </c>
      <c r="G713" s="22">
        <v>6.7</v>
      </c>
      <c r="H713" s="22" t="s">
        <v>13</v>
      </c>
      <c r="I713" s="22" t="s">
        <v>14</v>
      </c>
      <c r="J713" s="22">
        <v>3.8</v>
      </c>
    </row>
    <row r="714" spans="1:10" x14ac:dyDescent="0.25">
      <c r="A714" s="22" t="s">
        <v>11</v>
      </c>
      <c r="B714" s="22" t="s">
        <v>772</v>
      </c>
      <c r="C714" s="22">
        <v>1122</v>
      </c>
      <c r="D714" s="22">
        <v>128</v>
      </c>
      <c r="E714" s="22">
        <v>48</v>
      </c>
      <c r="F714" s="22">
        <v>5500</v>
      </c>
      <c r="G714" s="22">
        <v>6</v>
      </c>
      <c r="H714" s="22" t="s">
        <v>21</v>
      </c>
      <c r="I714" s="22" t="s">
        <v>14</v>
      </c>
      <c r="J714" s="22">
        <v>3.8</v>
      </c>
    </row>
    <row r="715" spans="1:10" x14ac:dyDescent="0.25">
      <c r="A715" s="22" t="s">
        <v>16</v>
      </c>
      <c r="B715" s="22" t="s">
        <v>773</v>
      </c>
      <c r="C715" s="22">
        <v>1124</v>
      </c>
      <c r="D715" s="22">
        <v>128</v>
      </c>
      <c r="E715" s="22">
        <v>200</v>
      </c>
      <c r="F715" s="22">
        <v>5000</v>
      </c>
      <c r="G715" s="22">
        <v>6.7</v>
      </c>
      <c r="H715" s="22" t="s">
        <v>21</v>
      </c>
      <c r="I715" s="22" t="s">
        <v>14</v>
      </c>
      <c r="J715" s="22">
        <v>4.7</v>
      </c>
    </row>
    <row r="716" spans="1:10" x14ac:dyDescent="0.25">
      <c r="A716" s="22" t="s">
        <v>19</v>
      </c>
      <c r="B716" s="22" t="s">
        <v>774</v>
      </c>
      <c r="C716" s="22">
        <v>1126</v>
      </c>
      <c r="D716" s="22">
        <v>64</v>
      </c>
      <c r="E716" s="22">
        <v>48</v>
      </c>
      <c r="F716" s="22">
        <v>4000</v>
      </c>
      <c r="G716" s="22">
        <v>7.2</v>
      </c>
      <c r="H716" s="22" t="s">
        <v>21</v>
      </c>
      <c r="I716" s="22" t="s">
        <v>14</v>
      </c>
      <c r="J716" s="22">
        <v>4.7</v>
      </c>
    </row>
    <row r="717" spans="1:10" x14ac:dyDescent="0.25">
      <c r="A717" s="22" t="s">
        <v>52</v>
      </c>
      <c r="B717" s="22" t="s">
        <v>775</v>
      </c>
      <c r="C717" s="22">
        <v>1127</v>
      </c>
      <c r="D717" s="22">
        <v>512</v>
      </c>
      <c r="E717" s="22">
        <v>50</v>
      </c>
      <c r="F717" s="22">
        <v>4000</v>
      </c>
      <c r="G717" s="22">
        <v>6.5</v>
      </c>
      <c r="H717" s="22" t="s">
        <v>13</v>
      </c>
      <c r="I717" s="22" t="s">
        <v>14</v>
      </c>
      <c r="J717" s="22">
        <v>3.6</v>
      </c>
    </row>
    <row r="718" spans="1:10" x14ac:dyDescent="0.25">
      <c r="A718" s="22" t="s">
        <v>58</v>
      </c>
      <c r="B718" s="22" t="s">
        <v>776</v>
      </c>
      <c r="C718" s="22">
        <v>1127</v>
      </c>
      <c r="D718" s="22">
        <v>64</v>
      </c>
      <c r="E718" s="22">
        <v>108</v>
      </c>
      <c r="F718" s="22">
        <v>5000</v>
      </c>
      <c r="G718" s="22">
        <v>5.9</v>
      </c>
      <c r="H718" s="22" t="s">
        <v>13</v>
      </c>
      <c r="I718" s="22" t="s">
        <v>60</v>
      </c>
      <c r="J718" s="22">
        <v>4.4000000000000004</v>
      </c>
    </row>
    <row r="719" spans="1:10" x14ac:dyDescent="0.25">
      <c r="A719" s="22" t="s">
        <v>58</v>
      </c>
      <c r="B719" s="22" t="s">
        <v>777</v>
      </c>
      <c r="C719" s="22">
        <v>1129</v>
      </c>
      <c r="D719" s="22">
        <v>512</v>
      </c>
      <c r="E719" s="22">
        <v>64</v>
      </c>
      <c r="F719" s="22">
        <v>4500</v>
      </c>
      <c r="G719" s="22">
        <v>7.2</v>
      </c>
      <c r="H719" s="22" t="s">
        <v>13</v>
      </c>
      <c r="I719" s="22" t="s">
        <v>60</v>
      </c>
      <c r="J719" s="22">
        <v>4.2</v>
      </c>
    </row>
    <row r="720" spans="1:10" x14ac:dyDescent="0.25">
      <c r="A720" s="22" t="s">
        <v>52</v>
      </c>
      <c r="B720" s="22" t="s">
        <v>778</v>
      </c>
      <c r="C720" s="22">
        <v>1129</v>
      </c>
      <c r="D720" s="22">
        <v>512</v>
      </c>
      <c r="E720" s="22">
        <v>64</v>
      </c>
      <c r="F720" s="22">
        <v>4500</v>
      </c>
      <c r="G720" s="22">
        <v>6</v>
      </c>
      <c r="H720" s="22" t="s">
        <v>13</v>
      </c>
      <c r="I720" s="22" t="s">
        <v>14</v>
      </c>
      <c r="J720" s="22">
        <v>4.4000000000000004</v>
      </c>
    </row>
    <row r="721" spans="1:10" x14ac:dyDescent="0.25">
      <c r="A721" s="22" t="s">
        <v>16</v>
      </c>
      <c r="B721" s="22" t="s">
        <v>779</v>
      </c>
      <c r="C721" s="22">
        <v>1131</v>
      </c>
      <c r="D721" s="22">
        <v>1024</v>
      </c>
      <c r="E721" s="22">
        <v>200</v>
      </c>
      <c r="F721" s="22">
        <v>5500</v>
      </c>
      <c r="G721" s="22">
        <v>6.6</v>
      </c>
      <c r="H721" s="22" t="s">
        <v>21</v>
      </c>
      <c r="I721" s="22" t="s">
        <v>14</v>
      </c>
      <c r="J721" s="22">
        <v>4</v>
      </c>
    </row>
    <row r="722" spans="1:10" x14ac:dyDescent="0.25">
      <c r="A722" s="22" t="s">
        <v>24</v>
      </c>
      <c r="B722" s="22" t="s">
        <v>780</v>
      </c>
      <c r="C722" s="22">
        <v>1132</v>
      </c>
      <c r="D722" s="22">
        <v>128</v>
      </c>
      <c r="E722" s="22">
        <v>48</v>
      </c>
      <c r="F722" s="22">
        <v>4500</v>
      </c>
      <c r="G722" s="22">
        <v>6.9</v>
      </c>
      <c r="H722" s="22" t="s">
        <v>13</v>
      </c>
      <c r="I722" s="22" t="s">
        <v>14</v>
      </c>
      <c r="J722" s="22">
        <v>3.9</v>
      </c>
    </row>
    <row r="723" spans="1:10" x14ac:dyDescent="0.25">
      <c r="A723" s="22" t="s">
        <v>33</v>
      </c>
      <c r="B723" s="22" t="s">
        <v>781</v>
      </c>
      <c r="C723" s="22">
        <v>1137</v>
      </c>
      <c r="D723" s="22">
        <v>64</v>
      </c>
      <c r="E723" s="22">
        <v>12</v>
      </c>
      <c r="F723" s="22">
        <v>6000</v>
      </c>
      <c r="G723" s="22">
        <v>6.1</v>
      </c>
      <c r="H723" s="22" t="s">
        <v>21</v>
      </c>
      <c r="I723" s="22" t="s">
        <v>14</v>
      </c>
      <c r="J723" s="22">
        <v>4.3</v>
      </c>
    </row>
    <row r="724" spans="1:10" x14ac:dyDescent="0.25">
      <c r="A724" s="22" t="s">
        <v>91</v>
      </c>
      <c r="B724" s="22" t="s">
        <v>782</v>
      </c>
      <c r="C724" s="22">
        <v>1137</v>
      </c>
      <c r="D724" s="22">
        <v>128</v>
      </c>
      <c r="E724" s="22">
        <v>12</v>
      </c>
      <c r="F724" s="22">
        <v>4000</v>
      </c>
      <c r="G724" s="22">
        <v>6.4</v>
      </c>
      <c r="H724" s="22" t="s">
        <v>21</v>
      </c>
      <c r="I724" s="22" t="s">
        <v>14</v>
      </c>
      <c r="J724" s="22">
        <v>4.7</v>
      </c>
    </row>
    <row r="725" spans="1:10" x14ac:dyDescent="0.25">
      <c r="A725" s="22" t="s">
        <v>47</v>
      </c>
      <c r="B725" s="22" t="s">
        <v>783</v>
      </c>
      <c r="C725" s="22">
        <v>1138</v>
      </c>
      <c r="D725" s="22">
        <v>256</v>
      </c>
      <c r="E725" s="22">
        <v>12</v>
      </c>
      <c r="F725" s="22">
        <v>4500</v>
      </c>
      <c r="G725" s="22">
        <v>6.1</v>
      </c>
      <c r="H725" s="22" t="s">
        <v>13</v>
      </c>
      <c r="I725" s="22" t="s">
        <v>14</v>
      </c>
      <c r="J725" s="22">
        <v>3.8</v>
      </c>
    </row>
    <row r="726" spans="1:10" x14ac:dyDescent="0.25">
      <c r="A726" s="22" t="s">
        <v>58</v>
      </c>
      <c r="B726" s="22" t="s">
        <v>784</v>
      </c>
      <c r="C726" s="22">
        <v>1138</v>
      </c>
      <c r="D726" s="22">
        <v>128</v>
      </c>
      <c r="E726" s="22">
        <v>200</v>
      </c>
      <c r="F726" s="22">
        <v>5000</v>
      </c>
      <c r="G726" s="22">
        <v>6.2</v>
      </c>
      <c r="H726" s="22" t="s">
        <v>21</v>
      </c>
      <c r="I726" s="22" t="s">
        <v>60</v>
      </c>
      <c r="J726" s="22">
        <v>3.5</v>
      </c>
    </row>
    <row r="727" spans="1:10" x14ac:dyDescent="0.25">
      <c r="A727" s="22" t="s">
        <v>91</v>
      </c>
      <c r="B727" s="22" t="s">
        <v>785</v>
      </c>
      <c r="C727" s="22">
        <v>1138</v>
      </c>
      <c r="D727" s="22">
        <v>512</v>
      </c>
      <c r="E727" s="22">
        <v>64</v>
      </c>
      <c r="F727" s="22">
        <v>5000</v>
      </c>
      <c r="G727" s="22">
        <v>6.1</v>
      </c>
      <c r="H727" s="22" t="s">
        <v>21</v>
      </c>
      <c r="I727" s="22" t="s">
        <v>14</v>
      </c>
      <c r="J727" s="22">
        <v>4.9000000000000004</v>
      </c>
    </row>
    <row r="728" spans="1:10" x14ac:dyDescent="0.25">
      <c r="A728" s="22" t="s">
        <v>52</v>
      </c>
      <c r="B728" s="22" t="s">
        <v>786</v>
      </c>
      <c r="C728" s="22">
        <v>1139</v>
      </c>
      <c r="D728" s="22">
        <v>128</v>
      </c>
      <c r="E728" s="22">
        <v>50</v>
      </c>
      <c r="F728" s="22">
        <v>5500</v>
      </c>
      <c r="G728" s="22">
        <v>6.2</v>
      </c>
      <c r="H728" s="22" t="s">
        <v>13</v>
      </c>
      <c r="I728" s="22" t="s">
        <v>14</v>
      </c>
      <c r="J728" s="22">
        <v>4.8</v>
      </c>
    </row>
    <row r="729" spans="1:10" x14ac:dyDescent="0.25">
      <c r="A729" s="22" t="s">
        <v>19</v>
      </c>
      <c r="B729" s="22" t="s">
        <v>787</v>
      </c>
      <c r="C729" s="22">
        <v>1140</v>
      </c>
      <c r="D729" s="22">
        <v>1024</v>
      </c>
      <c r="E729" s="22">
        <v>64</v>
      </c>
      <c r="F729" s="22">
        <v>4500</v>
      </c>
      <c r="G729" s="22">
        <v>6.6</v>
      </c>
      <c r="H729" s="22" t="s">
        <v>21</v>
      </c>
      <c r="I729" s="22" t="s">
        <v>14</v>
      </c>
      <c r="J729" s="22">
        <v>4.0999999999999996</v>
      </c>
    </row>
    <row r="730" spans="1:10" x14ac:dyDescent="0.25">
      <c r="A730" s="22" t="s">
        <v>16</v>
      </c>
      <c r="B730" s="22" t="s">
        <v>788</v>
      </c>
      <c r="C730" s="22">
        <v>1141</v>
      </c>
      <c r="D730" s="22">
        <v>64</v>
      </c>
      <c r="E730" s="22">
        <v>12</v>
      </c>
      <c r="F730" s="22">
        <v>5000</v>
      </c>
      <c r="G730" s="22">
        <v>5.6</v>
      </c>
      <c r="H730" s="22" t="s">
        <v>21</v>
      </c>
      <c r="I730" s="22" t="s">
        <v>14</v>
      </c>
      <c r="J730" s="22">
        <v>3.8</v>
      </c>
    </row>
    <row r="731" spans="1:10" x14ac:dyDescent="0.25">
      <c r="A731" s="22" t="s">
        <v>16</v>
      </c>
      <c r="B731" s="22" t="s">
        <v>789</v>
      </c>
      <c r="C731" s="22">
        <v>1143</v>
      </c>
      <c r="D731" s="22">
        <v>128</v>
      </c>
      <c r="E731" s="22">
        <v>50</v>
      </c>
      <c r="F731" s="22">
        <v>5000</v>
      </c>
      <c r="G731" s="22">
        <v>6.1</v>
      </c>
      <c r="H731" s="22" t="s">
        <v>13</v>
      </c>
      <c r="I731" s="22" t="s">
        <v>14</v>
      </c>
      <c r="J731" s="22">
        <v>4.7</v>
      </c>
    </row>
    <row r="732" spans="1:10" x14ac:dyDescent="0.25">
      <c r="A732" s="22" t="s">
        <v>52</v>
      </c>
      <c r="B732" s="22" t="s">
        <v>790</v>
      </c>
      <c r="C732" s="22">
        <v>1143</v>
      </c>
      <c r="D732" s="22">
        <v>256</v>
      </c>
      <c r="E732" s="22">
        <v>64</v>
      </c>
      <c r="F732" s="22">
        <v>5500</v>
      </c>
      <c r="G732" s="22">
        <v>7</v>
      </c>
      <c r="H732" s="22" t="s">
        <v>13</v>
      </c>
      <c r="I732" s="22" t="s">
        <v>14</v>
      </c>
      <c r="J732" s="22">
        <v>4.5999999999999996</v>
      </c>
    </row>
    <row r="733" spans="1:10" x14ac:dyDescent="0.25">
      <c r="A733" s="22" t="s">
        <v>33</v>
      </c>
      <c r="B733" s="22" t="s">
        <v>791</v>
      </c>
      <c r="C733" s="22">
        <v>1146</v>
      </c>
      <c r="D733" s="22">
        <v>128</v>
      </c>
      <c r="E733" s="22">
        <v>108</v>
      </c>
      <c r="F733" s="22">
        <v>5000</v>
      </c>
      <c r="G733" s="22">
        <v>6.8</v>
      </c>
      <c r="H733" s="22" t="s">
        <v>21</v>
      </c>
      <c r="I733" s="22" t="s">
        <v>14</v>
      </c>
      <c r="J733" s="22">
        <v>4.3</v>
      </c>
    </row>
    <row r="734" spans="1:10" x14ac:dyDescent="0.25">
      <c r="A734" s="22" t="s">
        <v>11</v>
      </c>
      <c r="B734" s="22" t="s">
        <v>792</v>
      </c>
      <c r="C734" s="22">
        <v>1147</v>
      </c>
      <c r="D734" s="22">
        <v>256</v>
      </c>
      <c r="E734" s="22">
        <v>50</v>
      </c>
      <c r="F734" s="22">
        <v>5500</v>
      </c>
      <c r="G734" s="22">
        <v>5.9</v>
      </c>
      <c r="H734" s="22" t="s">
        <v>21</v>
      </c>
      <c r="I734" s="22" t="s">
        <v>14</v>
      </c>
      <c r="J734" s="22">
        <v>3.9</v>
      </c>
    </row>
    <row r="735" spans="1:10" x14ac:dyDescent="0.25">
      <c r="A735" s="22" t="s">
        <v>52</v>
      </c>
      <c r="B735" s="22" t="s">
        <v>793</v>
      </c>
      <c r="C735" s="22">
        <v>1149</v>
      </c>
      <c r="D735" s="22">
        <v>1024</v>
      </c>
      <c r="E735" s="22">
        <v>48</v>
      </c>
      <c r="F735" s="22">
        <v>4000</v>
      </c>
      <c r="G735" s="22">
        <v>5.9</v>
      </c>
      <c r="H735" s="22" t="s">
        <v>21</v>
      </c>
      <c r="I735" s="22" t="s">
        <v>14</v>
      </c>
      <c r="J735" s="22">
        <v>4.5</v>
      </c>
    </row>
    <row r="736" spans="1:10" x14ac:dyDescent="0.25">
      <c r="A736" s="22" t="s">
        <v>11</v>
      </c>
      <c r="B736" s="22" t="s">
        <v>794</v>
      </c>
      <c r="C736" s="22">
        <v>1150</v>
      </c>
      <c r="D736" s="22">
        <v>128</v>
      </c>
      <c r="E736" s="22">
        <v>50</v>
      </c>
      <c r="F736" s="22">
        <v>4000</v>
      </c>
      <c r="G736" s="22">
        <v>5.7</v>
      </c>
      <c r="H736" s="22" t="s">
        <v>21</v>
      </c>
      <c r="I736" s="22" t="s">
        <v>14</v>
      </c>
      <c r="J736" s="22">
        <v>3.8</v>
      </c>
    </row>
    <row r="737" spans="1:10" x14ac:dyDescent="0.25">
      <c r="A737" s="22" t="s">
        <v>19</v>
      </c>
      <c r="B737" s="22" t="s">
        <v>795</v>
      </c>
      <c r="C737" s="22">
        <v>1150</v>
      </c>
      <c r="D737" s="22">
        <v>512</v>
      </c>
      <c r="E737" s="22">
        <v>48</v>
      </c>
      <c r="F737" s="22">
        <v>5500</v>
      </c>
      <c r="G737" s="22">
        <v>6.5</v>
      </c>
      <c r="H737" s="22" t="s">
        <v>21</v>
      </c>
      <c r="I737" s="22" t="s">
        <v>14</v>
      </c>
      <c r="J737" s="22">
        <v>4.2</v>
      </c>
    </row>
    <row r="738" spans="1:10" x14ac:dyDescent="0.25">
      <c r="A738" s="22" t="s">
        <v>11</v>
      </c>
      <c r="B738" s="22" t="s">
        <v>796</v>
      </c>
      <c r="C738" s="22">
        <v>1154</v>
      </c>
      <c r="D738" s="22">
        <v>512</v>
      </c>
      <c r="E738" s="22">
        <v>200</v>
      </c>
      <c r="F738" s="22">
        <v>6000</v>
      </c>
      <c r="G738" s="22">
        <v>5.9</v>
      </c>
      <c r="H738" s="22" t="s">
        <v>21</v>
      </c>
      <c r="I738" s="22" t="s">
        <v>14</v>
      </c>
      <c r="J738" s="22">
        <v>4.2</v>
      </c>
    </row>
    <row r="739" spans="1:10" x14ac:dyDescent="0.25">
      <c r="A739" s="22" t="s">
        <v>11</v>
      </c>
      <c r="B739" s="22" t="s">
        <v>797</v>
      </c>
      <c r="C739" s="22">
        <v>1154</v>
      </c>
      <c r="D739" s="22">
        <v>1024</v>
      </c>
      <c r="E739" s="22">
        <v>64</v>
      </c>
      <c r="F739" s="22">
        <v>6000</v>
      </c>
      <c r="G739" s="22">
        <v>5.7</v>
      </c>
      <c r="H739" s="22" t="s">
        <v>21</v>
      </c>
      <c r="I739" s="22" t="s">
        <v>14</v>
      </c>
      <c r="J739" s="22">
        <v>4.9000000000000004</v>
      </c>
    </row>
    <row r="740" spans="1:10" x14ac:dyDescent="0.25">
      <c r="A740" s="22" t="s">
        <v>33</v>
      </c>
      <c r="B740" s="22" t="s">
        <v>798</v>
      </c>
      <c r="C740" s="22">
        <v>1159</v>
      </c>
      <c r="D740" s="22">
        <v>128</v>
      </c>
      <c r="E740" s="22">
        <v>48</v>
      </c>
      <c r="F740" s="22">
        <v>4000</v>
      </c>
      <c r="G740" s="22">
        <v>7.1</v>
      </c>
      <c r="H740" s="22" t="s">
        <v>13</v>
      </c>
      <c r="I740" s="22" t="s">
        <v>14</v>
      </c>
      <c r="J740" s="22">
        <v>4</v>
      </c>
    </row>
    <row r="741" spans="1:10" x14ac:dyDescent="0.25">
      <c r="A741" s="22" t="s">
        <v>91</v>
      </c>
      <c r="B741" s="22" t="s">
        <v>799</v>
      </c>
      <c r="C741" s="22">
        <v>1160</v>
      </c>
      <c r="D741" s="22">
        <v>64</v>
      </c>
      <c r="E741" s="22">
        <v>48</v>
      </c>
      <c r="F741" s="22">
        <v>5500</v>
      </c>
      <c r="G741" s="22">
        <v>6.7</v>
      </c>
      <c r="H741" s="22" t="s">
        <v>21</v>
      </c>
      <c r="I741" s="22" t="s">
        <v>14</v>
      </c>
      <c r="J741" s="22">
        <v>4.9000000000000004</v>
      </c>
    </row>
    <row r="742" spans="1:10" x14ac:dyDescent="0.25">
      <c r="A742" s="22" t="s">
        <v>33</v>
      </c>
      <c r="B742" s="22" t="s">
        <v>800</v>
      </c>
      <c r="C742" s="22">
        <v>1160</v>
      </c>
      <c r="D742" s="22">
        <v>256</v>
      </c>
      <c r="E742" s="22">
        <v>200</v>
      </c>
      <c r="F742" s="22">
        <v>5000</v>
      </c>
      <c r="G742" s="22">
        <v>5.5</v>
      </c>
      <c r="H742" s="22" t="s">
        <v>13</v>
      </c>
      <c r="I742" s="22" t="s">
        <v>14</v>
      </c>
      <c r="J742" s="22">
        <v>5</v>
      </c>
    </row>
    <row r="743" spans="1:10" x14ac:dyDescent="0.25">
      <c r="A743" s="22" t="s">
        <v>33</v>
      </c>
      <c r="B743" s="22" t="s">
        <v>801</v>
      </c>
      <c r="C743" s="22">
        <v>1161</v>
      </c>
      <c r="D743" s="22">
        <v>1024</v>
      </c>
      <c r="E743" s="22">
        <v>50</v>
      </c>
      <c r="F743" s="22">
        <v>6000</v>
      </c>
      <c r="G743" s="22">
        <v>6.7</v>
      </c>
      <c r="H743" s="22" t="s">
        <v>21</v>
      </c>
      <c r="I743" s="22" t="s">
        <v>14</v>
      </c>
      <c r="J743" s="22">
        <v>3.9</v>
      </c>
    </row>
    <row r="744" spans="1:10" x14ac:dyDescent="0.25">
      <c r="A744" s="22" t="s">
        <v>58</v>
      </c>
      <c r="B744" s="22" t="s">
        <v>802</v>
      </c>
      <c r="C744" s="22">
        <v>1163</v>
      </c>
      <c r="D744" s="22">
        <v>64</v>
      </c>
      <c r="E744" s="22">
        <v>108</v>
      </c>
      <c r="F744" s="22">
        <v>4000</v>
      </c>
      <c r="G744" s="22">
        <v>7</v>
      </c>
      <c r="H744" s="22" t="s">
        <v>13</v>
      </c>
      <c r="I744" s="22" t="s">
        <v>60</v>
      </c>
      <c r="J744" s="22">
        <v>4.0999999999999996</v>
      </c>
    </row>
    <row r="745" spans="1:10" x14ac:dyDescent="0.25">
      <c r="A745" s="22" t="s">
        <v>58</v>
      </c>
      <c r="B745" s="22" t="s">
        <v>803</v>
      </c>
      <c r="C745" s="22">
        <v>1163</v>
      </c>
      <c r="D745" s="22">
        <v>128</v>
      </c>
      <c r="E745" s="22">
        <v>108</v>
      </c>
      <c r="F745" s="22">
        <v>6000</v>
      </c>
      <c r="G745" s="22">
        <v>5.5</v>
      </c>
      <c r="H745" s="22" t="s">
        <v>13</v>
      </c>
      <c r="I745" s="22" t="s">
        <v>60</v>
      </c>
      <c r="J745" s="22">
        <v>4.4000000000000004</v>
      </c>
    </row>
    <row r="746" spans="1:10" x14ac:dyDescent="0.25">
      <c r="A746" s="22" t="s">
        <v>58</v>
      </c>
      <c r="B746" s="22" t="s">
        <v>804</v>
      </c>
      <c r="C746" s="22">
        <v>1163</v>
      </c>
      <c r="D746" s="22">
        <v>512</v>
      </c>
      <c r="E746" s="22">
        <v>64</v>
      </c>
      <c r="F746" s="22">
        <v>4000</v>
      </c>
      <c r="G746" s="22">
        <v>6.7</v>
      </c>
      <c r="H746" s="22" t="s">
        <v>13</v>
      </c>
      <c r="I746" s="22" t="s">
        <v>60</v>
      </c>
      <c r="J746" s="22">
        <v>4.3</v>
      </c>
    </row>
    <row r="747" spans="1:10" x14ac:dyDescent="0.25">
      <c r="A747" s="22" t="s">
        <v>24</v>
      </c>
      <c r="B747" s="22" t="s">
        <v>805</v>
      </c>
      <c r="C747" s="22">
        <v>1164</v>
      </c>
      <c r="D747" s="22">
        <v>128</v>
      </c>
      <c r="E747" s="22">
        <v>200</v>
      </c>
      <c r="F747" s="22">
        <v>4000</v>
      </c>
      <c r="G747" s="22">
        <v>6.2</v>
      </c>
      <c r="H747" s="22" t="s">
        <v>21</v>
      </c>
      <c r="I747" s="22" t="s">
        <v>14</v>
      </c>
      <c r="J747" s="22">
        <v>4.8</v>
      </c>
    </row>
    <row r="748" spans="1:10" x14ac:dyDescent="0.25">
      <c r="A748" s="22" t="s">
        <v>52</v>
      </c>
      <c r="B748" s="22" t="s">
        <v>806</v>
      </c>
      <c r="C748" s="22">
        <v>1164</v>
      </c>
      <c r="D748" s="22">
        <v>128</v>
      </c>
      <c r="E748" s="22">
        <v>12</v>
      </c>
      <c r="F748" s="22">
        <v>5500</v>
      </c>
      <c r="G748" s="22">
        <v>5.9</v>
      </c>
      <c r="H748" s="22" t="s">
        <v>13</v>
      </c>
      <c r="I748" s="22" t="s">
        <v>14</v>
      </c>
      <c r="J748" s="22">
        <v>3.8</v>
      </c>
    </row>
    <row r="749" spans="1:10" x14ac:dyDescent="0.25">
      <c r="A749" s="22" t="s">
        <v>19</v>
      </c>
      <c r="B749" s="22" t="s">
        <v>807</v>
      </c>
      <c r="C749" s="22">
        <v>1164</v>
      </c>
      <c r="D749" s="22">
        <v>128</v>
      </c>
      <c r="E749" s="22">
        <v>200</v>
      </c>
      <c r="F749" s="22">
        <v>4500</v>
      </c>
      <c r="G749" s="22">
        <v>5.7</v>
      </c>
      <c r="H749" s="22" t="s">
        <v>13</v>
      </c>
      <c r="I749" s="22" t="s">
        <v>14</v>
      </c>
      <c r="J749" s="22">
        <v>4.8</v>
      </c>
    </row>
    <row r="750" spans="1:10" x14ac:dyDescent="0.25">
      <c r="A750" s="22" t="s">
        <v>33</v>
      </c>
      <c r="B750" s="22" t="s">
        <v>808</v>
      </c>
      <c r="C750" s="22">
        <v>1165</v>
      </c>
      <c r="D750" s="22">
        <v>64</v>
      </c>
      <c r="E750" s="22">
        <v>48</v>
      </c>
      <c r="F750" s="22">
        <v>4500</v>
      </c>
      <c r="G750" s="22">
        <v>6.2</v>
      </c>
      <c r="H750" s="22" t="s">
        <v>21</v>
      </c>
      <c r="I750" s="22" t="s">
        <v>14</v>
      </c>
      <c r="J750" s="22">
        <v>3.7</v>
      </c>
    </row>
    <row r="751" spans="1:10" x14ac:dyDescent="0.25">
      <c r="A751" s="22" t="s">
        <v>24</v>
      </c>
      <c r="B751" s="22" t="s">
        <v>809</v>
      </c>
      <c r="C751" s="22">
        <v>1166</v>
      </c>
      <c r="D751" s="22">
        <v>256</v>
      </c>
      <c r="E751" s="22">
        <v>108</v>
      </c>
      <c r="F751" s="22">
        <v>5000</v>
      </c>
      <c r="G751" s="22">
        <v>7</v>
      </c>
      <c r="H751" s="22" t="s">
        <v>21</v>
      </c>
      <c r="I751" s="22" t="s">
        <v>14</v>
      </c>
      <c r="J751" s="22">
        <v>4.9000000000000004</v>
      </c>
    </row>
    <row r="752" spans="1:10" x14ac:dyDescent="0.25">
      <c r="A752" s="22" t="s">
        <v>24</v>
      </c>
      <c r="B752" s="22" t="s">
        <v>810</v>
      </c>
      <c r="C752" s="22">
        <v>1167</v>
      </c>
      <c r="D752" s="22">
        <v>1024</v>
      </c>
      <c r="E752" s="22">
        <v>50</v>
      </c>
      <c r="F752" s="22">
        <v>4500</v>
      </c>
      <c r="G752" s="22">
        <v>7.1</v>
      </c>
      <c r="H752" s="22" t="s">
        <v>21</v>
      </c>
      <c r="I752" s="22" t="s">
        <v>14</v>
      </c>
      <c r="J752" s="22">
        <v>5</v>
      </c>
    </row>
    <row r="753" spans="1:10" x14ac:dyDescent="0.25">
      <c r="A753" s="22" t="s">
        <v>24</v>
      </c>
      <c r="B753" s="22" t="s">
        <v>811</v>
      </c>
      <c r="C753" s="22">
        <v>1170</v>
      </c>
      <c r="D753" s="22">
        <v>64</v>
      </c>
      <c r="E753" s="22">
        <v>50</v>
      </c>
      <c r="F753" s="22">
        <v>5500</v>
      </c>
      <c r="G753" s="22">
        <v>6.6</v>
      </c>
      <c r="H753" s="22" t="s">
        <v>21</v>
      </c>
      <c r="I753" s="22" t="s">
        <v>14</v>
      </c>
      <c r="J753" s="22">
        <v>3.8</v>
      </c>
    </row>
    <row r="754" spans="1:10" x14ac:dyDescent="0.25">
      <c r="A754" s="22" t="s">
        <v>91</v>
      </c>
      <c r="B754" s="22" t="s">
        <v>812</v>
      </c>
      <c r="C754" s="22">
        <v>1171</v>
      </c>
      <c r="D754" s="22">
        <v>256</v>
      </c>
      <c r="E754" s="22">
        <v>64</v>
      </c>
      <c r="F754" s="22">
        <v>5500</v>
      </c>
      <c r="G754" s="22">
        <v>5.6</v>
      </c>
      <c r="H754" s="22" t="s">
        <v>13</v>
      </c>
      <c r="I754" s="22" t="s">
        <v>14</v>
      </c>
      <c r="J754" s="22">
        <v>3.9</v>
      </c>
    </row>
    <row r="755" spans="1:10" x14ac:dyDescent="0.25">
      <c r="A755" s="22" t="s">
        <v>33</v>
      </c>
      <c r="B755" s="22" t="s">
        <v>813</v>
      </c>
      <c r="C755" s="22">
        <v>1178</v>
      </c>
      <c r="D755" s="22">
        <v>1024</v>
      </c>
      <c r="E755" s="22">
        <v>12</v>
      </c>
      <c r="F755" s="22">
        <v>6000</v>
      </c>
      <c r="G755" s="22">
        <v>6.9</v>
      </c>
      <c r="H755" s="22" t="s">
        <v>21</v>
      </c>
      <c r="I755" s="22" t="s">
        <v>14</v>
      </c>
      <c r="J755" s="22">
        <v>3.9</v>
      </c>
    </row>
    <row r="756" spans="1:10" x14ac:dyDescent="0.25">
      <c r="A756" s="22" t="s">
        <v>11</v>
      </c>
      <c r="B756" s="22" t="s">
        <v>814</v>
      </c>
      <c r="C756" s="22">
        <v>1181</v>
      </c>
      <c r="D756" s="22">
        <v>512</v>
      </c>
      <c r="E756" s="22">
        <v>12</v>
      </c>
      <c r="F756" s="22">
        <v>6000</v>
      </c>
      <c r="G756" s="22">
        <v>5.8</v>
      </c>
      <c r="H756" s="22" t="s">
        <v>13</v>
      </c>
      <c r="I756" s="22" t="s">
        <v>14</v>
      </c>
      <c r="J756" s="22">
        <v>4.9000000000000004</v>
      </c>
    </row>
    <row r="757" spans="1:10" x14ac:dyDescent="0.25">
      <c r="A757" s="22" t="s">
        <v>58</v>
      </c>
      <c r="B757" s="22" t="s">
        <v>815</v>
      </c>
      <c r="C757" s="22">
        <v>1182</v>
      </c>
      <c r="D757" s="22">
        <v>512</v>
      </c>
      <c r="E757" s="22">
        <v>200</v>
      </c>
      <c r="F757" s="22">
        <v>4500</v>
      </c>
      <c r="G757" s="22">
        <v>6.3</v>
      </c>
      <c r="H757" s="22" t="s">
        <v>13</v>
      </c>
      <c r="I757" s="22" t="s">
        <v>60</v>
      </c>
      <c r="J757" s="22">
        <v>4.5999999999999996</v>
      </c>
    </row>
    <row r="758" spans="1:10" x14ac:dyDescent="0.25">
      <c r="A758" s="22" t="s">
        <v>16</v>
      </c>
      <c r="B758" s="22" t="s">
        <v>816</v>
      </c>
      <c r="C758" s="22">
        <v>1185</v>
      </c>
      <c r="D758" s="22">
        <v>512</v>
      </c>
      <c r="E758" s="22">
        <v>48</v>
      </c>
      <c r="F758" s="22">
        <v>5500</v>
      </c>
      <c r="G758" s="22">
        <v>7.1</v>
      </c>
      <c r="H758" s="22" t="s">
        <v>21</v>
      </c>
      <c r="I758" s="22" t="s">
        <v>14</v>
      </c>
      <c r="J758" s="22">
        <v>4.0999999999999996</v>
      </c>
    </row>
    <row r="759" spans="1:10" x14ac:dyDescent="0.25">
      <c r="A759" s="22" t="s">
        <v>58</v>
      </c>
      <c r="B759" s="22" t="s">
        <v>817</v>
      </c>
      <c r="C759" s="22">
        <v>1186</v>
      </c>
      <c r="D759" s="22">
        <v>512</v>
      </c>
      <c r="E759" s="22">
        <v>200</v>
      </c>
      <c r="F759" s="22">
        <v>4000</v>
      </c>
      <c r="G759" s="22">
        <v>6.5</v>
      </c>
      <c r="H759" s="22" t="s">
        <v>13</v>
      </c>
      <c r="I759" s="22" t="s">
        <v>60</v>
      </c>
      <c r="J759" s="22">
        <v>3.9</v>
      </c>
    </row>
    <row r="760" spans="1:10" x14ac:dyDescent="0.25">
      <c r="A760" s="22" t="s">
        <v>47</v>
      </c>
      <c r="B760" s="22" t="s">
        <v>818</v>
      </c>
      <c r="C760" s="22">
        <v>1186</v>
      </c>
      <c r="D760" s="22">
        <v>1024</v>
      </c>
      <c r="E760" s="22">
        <v>200</v>
      </c>
      <c r="F760" s="22">
        <v>4500</v>
      </c>
      <c r="G760" s="22">
        <v>6.2</v>
      </c>
      <c r="H760" s="22" t="s">
        <v>13</v>
      </c>
      <c r="I760" s="22" t="s">
        <v>14</v>
      </c>
      <c r="J760" s="22">
        <v>4.3</v>
      </c>
    </row>
    <row r="761" spans="1:10" x14ac:dyDescent="0.25">
      <c r="A761" s="22" t="s">
        <v>24</v>
      </c>
      <c r="B761" s="22" t="s">
        <v>819</v>
      </c>
      <c r="C761" s="22">
        <v>1186</v>
      </c>
      <c r="D761" s="22">
        <v>128</v>
      </c>
      <c r="E761" s="22">
        <v>200</v>
      </c>
      <c r="F761" s="22">
        <v>5000</v>
      </c>
      <c r="G761" s="22">
        <v>7.2</v>
      </c>
      <c r="H761" s="22" t="s">
        <v>21</v>
      </c>
      <c r="I761" s="22" t="s">
        <v>14</v>
      </c>
      <c r="J761" s="22">
        <v>4.3</v>
      </c>
    </row>
    <row r="762" spans="1:10" x14ac:dyDescent="0.25">
      <c r="A762" s="22" t="s">
        <v>47</v>
      </c>
      <c r="B762" s="22" t="s">
        <v>820</v>
      </c>
      <c r="C762" s="22">
        <v>1187</v>
      </c>
      <c r="D762" s="22">
        <v>128</v>
      </c>
      <c r="E762" s="22">
        <v>48</v>
      </c>
      <c r="F762" s="22">
        <v>4500</v>
      </c>
      <c r="G762" s="22">
        <v>5.6</v>
      </c>
      <c r="H762" s="22" t="s">
        <v>13</v>
      </c>
      <c r="I762" s="22" t="s">
        <v>14</v>
      </c>
      <c r="J762" s="22">
        <v>4.4000000000000004</v>
      </c>
    </row>
    <row r="763" spans="1:10" x14ac:dyDescent="0.25">
      <c r="A763" s="22" t="s">
        <v>58</v>
      </c>
      <c r="B763" s="22" t="s">
        <v>821</v>
      </c>
      <c r="C763" s="22">
        <v>1188</v>
      </c>
      <c r="D763" s="22">
        <v>512</v>
      </c>
      <c r="E763" s="22">
        <v>48</v>
      </c>
      <c r="F763" s="22">
        <v>4000</v>
      </c>
      <c r="G763" s="22">
        <v>6.7</v>
      </c>
      <c r="H763" s="22" t="s">
        <v>13</v>
      </c>
      <c r="I763" s="22" t="s">
        <v>60</v>
      </c>
      <c r="J763" s="22">
        <v>4.7</v>
      </c>
    </row>
    <row r="764" spans="1:10" x14ac:dyDescent="0.25">
      <c r="A764" s="22" t="s">
        <v>91</v>
      </c>
      <c r="B764" s="22" t="s">
        <v>822</v>
      </c>
      <c r="C764" s="22">
        <v>1189</v>
      </c>
      <c r="D764" s="22">
        <v>256</v>
      </c>
      <c r="E764" s="22">
        <v>64</v>
      </c>
      <c r="F764" s="22">
        <v>6000</v>
      </c>
      <c r="G764" s="22">
        <v>6.4</v>
      </c>
      <c r="H764" s="22" t="s">
        <v>21</v>
      </c>
      <c r="I764" s="22" t="s">
        <v>14</v>
      </c>
      <c r="J764" s="22">
        <v>3.7</v>
      </c>
    </row>
    <row r="765" spans="1:10" x14ac:dyDescent="0.25">
      <c r="A765" s="22" t="s">
        <v>52</v>
      </c>
      <c r="B765" s="22" t="s">
        <v>823</v>
      </c>
      <c r="C765" s="22">
        <v>1190</v>
      </c>
      <c r="D765" s="22">
        <v>256</v>
      </c>
      <c r="E765" s="22">
        <v>12</v>
      </c>
      <c r="F765" s="22">
        <v>6000</v>
      </c>
      <c r="G765" s="22">
        <v>6.1</v>
      </c>
      <c r="H765" s="22" t="s">
        <v>21</v>
      </c>
      <c r="I765" s="22" t="s">
        <v>14</v>
      </c>
      <c r="J765" s="22">
        <v>4.3</v>
      </c>
    </row>
    <row r="766" spans="1:10" x14ac:dyDescent="0.25">
      <c r="A766" s="22" t="s">
        <v>16</v>
      </c>
      <c r="B766" s="22" t="s">
        <v>824</v>
      </c>
      <c r="C766" s="22">
        <v>1190</v>
      </c>
      <c r="D766" s="22">
        <v>128</v>
      </c>
      <c r="E766" s="22">
        <v>12</v>
      </c>
      <c r="F766" s="22">
        <v>5500</v>
      </c>
      <c r="G766" s="22">
        <v>6.1</v>
      </c>
      <c r="H766" s="22" t="s">
        <v>13</v>
      </c>
      <c r="I766" s="22" t="s">
        <v>14</v>
      </c>
      <c r="J766" s="22">
        <v>4.5999999999999996</v>
      </c>
    </row>
    <row r="767" spans="1:10" x14ac:dyDescent="0.25">
      <c r="A767" s="22" t="s">
        <v>19</v>
      </c>
      <c r="B767" s="22" t="s">
        <v>825</v>
      </c>
      <c r="C767" s="22">
        <v>1190</v>
      </c>
      <c r="D767" s="22">
        <v>128</v>
      </c>
      <c r="E767" s="22">
        <v>50</v>
      </c>
      <c r="F767" s="22">
        <v>5500</v>
      </c>
      <c r="G767" s="22">
        <v>5.5</v>
      </c>
      <c r="H767" s="22" t="s">
        <v>13</v>
      </c>
      <c r="I767" s="22" t="s">
        <v>14</v>
      </c>
      <c r="J767" s="22">
        <v>4.8</v>
      </c>
    </row>
    <row r="768" spans="1:10" x14ac:dyDescent="0.25">
      <c r="A768" s="22" t="s">
        <v>11</v>
      </c>
      <c r="B768" s="22" t="s">
        <v>826</v>
      </c>
      <c r="C768" s="22">
        <v>1192</v>
      </c>
      <c r="D768" s="22">
        <v>256</v>
      </c>
      <c r="E768" s="22">
        <v>12</v>
      </c>
      <c r="F768" s="22">
        <v>4000</v>
      </c>
      <c r="G768" s="22">
        <v>6.2</v>
      </c>
      <c r="H768" s="22" t="s">
        <v>13</v>
      </c>
      <c r="I768" s="22" t="s">
        <v>14</v>
      </c>
      <c r="J768" s="22">
        <v>4.7</v>
      </c>
    </row>
    <row r="769" spans="1:10" x14ac:dyDescent="0.25">
      <c r="A769" s="22" t="s">
        <v>19</v>
      </c>
      <c r="B769" s="22" t="s">
        <v>827</v>
      </c>
      <c r="C769" s="22">
        <v>1194</v>
      </c>
      <c r="D769" s="22">
        <v>512</v>
      </c>
      <c r="E769" s="22">
        <v>50</v>
      </c>
      <c r="F769" s="22">
        <v>4500</v>
      </c>
      <c r="G769" s="22">
        <v>6.9</v>
      </c>
      <c r="H769" s="22" t="s">
        <v>21</v>
      </c>
      <c r="I769" s="22" t="s">
        <v>14</v>
      </c>
      <c r="J769" s="22">
        <v>4.5999999999999996</v>
      </c>
    </row>
    <row r="770" spans="1:10" x14ac:dyDescent="0.25">
      <c r="A770" s="22" t="s">
        <v>19</v>
      </c>
      <c r="B770" s="22" t="s">
        <v>828</v>
      </c>
      <c r="C770" s="22">
        <v>1196</v>
      </c>
      <c r="D770" s="22">
        <v>64</v>
      </c>
      <c r="E770" s="22">
        <v>64</v>
      </c>
      <c r="F770" s="22">
        <v>5500</v>
      </c>
      <c r="G770" s="22">
        <v>6.3</v>
      </c>
      <c r="H770" s="22" t="s">
        <v>13</v>
      </c>
      <c r="I770" s="22" t="s">
        <v>14</v>
      </c>
      <c r="J770" s="22">
        <v>3.8</v>
      </c>
    </row>
    <row r="771" spans="1:10" x14ac:dyDescent="0.25">
      <c r="A771" s="22" t="s">
        <v>91</v>
      </c>
      <c r="B771" s="22" t="s">
        <v>829</v>
      </c>
      <c r="C771" s="22">
        <v>1199</v>
      </c>
      <c r="D771" s="22">
        <v>256</v>
      </c>
      <c r="E771" s="22">
        <v>12</v>
      </c>
      <c r="F771" s="22">
        <v>6000</v>
      </c>
      <c r="G771" s="22">
        <v>6.1</v>
      </c>
      <c r="H771" s="22" t="s">
        <v>21</v>
      </c>
      <c r="I771" s="22" t="s">
        <v>14</v>
      </c>
      <c r="J771" s="22">
        <v>3.5</v>
      </c>
    </row>
    <row r="772" spans="1:10" x14ac:dyDescent="0.25">
      <c r="A772" s="22" t="s">
        <v>58</v>
      </c>
      <c r="B772" s="22" t="s">
        <v>830</v>
      </c>
      <c r="C772" s="22">
        <v>1204</v>
      </c>
      <c r="D772" s="22">
        <v>128</v>
      </c>
      <c r="E772" s="22">
        <v>200</v>
      </c>
      <c r="F772" s="22">
        <v>4500</v>
      </c>
      <c r="G772" s="22">
        <v>6.4</v>
      </c>
      <c r="H772" s="22" t="s">
        <v>21</v>
      </c>
      <c r="I772" s="22" t="s">
        <v>60</v>
      </c>
      <c r="J772" s="22">
        <v>3.8</v>
      </c>
    </row>
    <row r="773" spans="1:10" x14ac:dyDescent="0.25">
      <c r="A773" s="22" t="s">
        <v>33</v>
      </c>
      <c r="B773" s="22" t="s">
        <v>831</v>
      </c>
      <c r="C773" s="22">
        <v>1206</v>
      </c>
      <c r="D773" s="22">
        <v>64</v>
      </c>
      <c r="E773" s="22">
        <v>200</v>
      </c>
      <c r="F773" s="22">
        <v>4000</v>
      </c>
      <c r="G773" s="22">
        <v>6.6</v>
      </c>
      <c r="H773" s="22" t="s">
        <v>21</v>
      </c>
      <c r="I773" s="22" t="s">
        <v>14</v>
      </c>
      <c r="J773" s="22">
        <v>4</v>
      </c>
    </row>
    <row r="774" spans="1:10" x14ac:dyDescent="0.25">
      <c r="A774" s="22" t="s">
        <v>52</v>
      </c>
      <c r="B774" s="22" t="s">
        <v>832</v>
      </c>
      <c r="C774" s="22">
        <v>1209</v>
      </c>
      <c r="D774" s="22">
        <v>64</v>
      </c>
      <c r="E774" s="22">
        <v>48</v>
      </c>
      <c r="F774" s="22">
        <v>5000</v>
      </c>
      <c r="G774" s="22">
        <v>6</v>
      </c>
      <c r="H774" s="22" t="s">
        <v>13</v>
      </c>
      <c r="I774" s="22" t="s">
        <v>14</v>
      </c>
      <c r="J774" s="22">
        <v>3.6</v>
      </c>
    </row>
    <row r="775" spans="1:10" x14ac:dyDescent="0.25">
      <c r="A775" s="22" t="s">
        <v>16</v>
      </c>
      <c r="B775" s="22" t="s">
        <v>833</v>
      </c>
      <c r="C775" s="22">
        <v>1209</v>
      </c>
      <c r="D775" s="22">
        <v>512</v>
      </c>
      <c r="E775" s="22">
        <v>200</v>
      </c>
      <c r="F775" s="22">
        <v>4000</v>
      </c>
      <c r="G775" s="22">
        <v>6.7</v>
      </c>
      <c r="H775" s="22" t="s">
        <v>21</v>
      </c>
      <c r="I775" s="22" t="s">
        <v>14</v>
      </c>
      <c r="J775" s="22">
        <v>3.7</v>
      </c>
    </row>
    <row r="776" spans="1:10" x14ac:dyDescent="0.25">
      <c r="A776" s="22" t="s">
        <v>91</v>
      </c>
      <c r="B776" s="22" t="s">
        <v>834</v>
      </c>
      <c r="C776" s="22">
        <v>1209</v>
      </c>
      <c r="D776" s="22">
        <v>512</v>
      </c>
      <c r="E776" s="22">
        <v>12</v>
      </c>
      <c r="F776" s="22">
        <v>4500</v>
      </c>
      <c r="G776" s="22">
        <v>6.8</v>
      </c>
      <c r="H776" s="22" t="s">
        <v>21</v>
      </c>
      <c r="I776" s="22" t="s">
        <v>14</v>
      </c>
      <c r="J776" s="22">
        <v>4.7</v>
      </c>
    </row>
    <row r="777" spans="1:10" x14ac:dyDescent="0.25">
      <c r="A777" s="22" t="s">
        <v>58</v>
      </c>
      <c r="B777" s="22" t="s">
        <v>835</v>
      </c>
      <c r="C777" s="22">
        <v>1210</v>
      </c>
      <c r="D777" s="22">
        <v>64</v>
      </c>
      <c r="E777" s="22">
        <v>50</v>
      </c>
      <c r="F777" s="22">
        <v>5500</v>
      </c>
      <c r="G777" s="22">
        <v>6.7</v>
      </c>
      <c r="H777" s="22" t="s">
        <v>21</v>
      </c>
      <c r="I777" s="22" t="s">
        <v>60</v>
      </c>
      <c r="J777" s="22">
        <v>4.2</v>
      </c>
    </row>
    <row r="778" spans="1:10" x14ac:dyDescent="0.25">
      <c r="A778" s="22" t="s">
        <v>33</v>
      </c>
      <c r="B778" s="22" t="s">
        <v>836</v>
      </c>
      <c r="C778" s="22">
        <v>1210</v>
      </c>
      <c r="D778" s="22">
        <v>512</v>
      </c>
      <c r="E778" s="22">
        <v>108</v>
      </c>
      <c r="F778" s="22">
        <v>5500</v>
      </c>
      <c r="G778" s="22">
        <v>5.9</v>
      </c>
      <c r="H778" s="22" t="s">
        <v>21</v>
      </c>
      <c r="I778" s="22" t="s">
        <v>14</v>
      </c>
      <c r="J778" s="22">
        <v>4.2</v>
      </c>
    </row>
    <row r="779" spans="1:10" x14ac:dyDescent="0.25">
      <c r="A779" s="22" t="s">
        <v>11</v>
      </c>
      <c r="B779" s="22" t="s">
        <v>837</v>
      </c>
      <c r="C779" s="22">
        <v>1211</v>
      </c>
      <c r="D779" s="22">
        <v>64</v>
      </c>
      <c r="E779" s="22">
        <v>50</v>
      </c>
      <c r="F779" s="22">
        <v>5000</v>
      </c>
      <c r="G779" s="22">
        <v>6.2</v>
      </c>
      <c r="H779" s="22" t="s">
        <v>21</v>
      </c>
      <c r="I779" s="22" t="s">
        <v>14</v>
      </c>
      <c r="J779" s="22">
        <v>5</v>
      </c>
    </row>
    <row r="780" spans="1:10" x14ac:dyDescent="0.25">
      <c r="A780" s="22" t="s">
        <v>91</v>
      </c>
      <c r="B780" s="22" t="s">
        <v>838</v>
      </c>
      <c r="C780" s="22">
        <v>1215</v>
      </c>
      <c r="D780" s="22">
        <v>256</v>
      </c>
      <c r="E780" s="22">
        <v>12</v>
      </c>
      <c r="F780" s="22">
        <v>4500</v>
      </c>
      <c r="G780" s="22">
        <v>5.9</v>
      </c>
      <c r="H780" s="22" t="s">
        <v>21</v>
      </c>
      <c r="I780" s="22" t="s">
        <v>14</v>
      </c>
      <c r="J780" s="22">
        <v>4.4000000000000004</v>
      </c>
    </row>
    <row r="781" spans="1:10" x14ac:dyDescent="0.25">
      <c r="A781" s="22" t="s">
        <v>33</v>
      </c>
      <c r="B781" s="22" t="s">
        <v>839</v>
      </c>
      <c r="C781" s="22">
        <v>1218</v>
      </c>
      <c r="D781" s="22">
        <v>256</v>
      </c>
      <c r="E781" s="22">
        <v>48</v>
      </c>
      <c r="F781" s="22">
        <v>5000</v>
      </c>
      <c r="G781" s="22">
        <v>6.8</v>
      </c>
      <c r="H781" s="22" t="s">
        <v>21</v>
      </c>
      <c r="I781" s="22" t="s">
        <v>14</v>
      </c>
      <c r="J781" s="22">
        <v>3.5</v>
      </c>
    </row>
    <row r="782" spans="1:10" x14ac:dyDescent="0.25">
      <c r="A782" s="22" t="s">
        <v>33</v>
      </c>
      <c r="B782" s="22" t="s">
        <v>840</v>
      </c>
      <c r="C782" s="22">
        <v>1220</v>
      </c>
      <c r="D782" s="22">
        <v>64</v>
      </c>
      <c r="E782" s="22">
        <v>64</v>
      </c>
      <c r="F782" s="22">
        <v>4500</v>
      </c>
      <c r="G782" s="22">
        <v>6</v>
      </c>
      <c r="H782" s="22" t="s">
        <v>13</v>
      </c>
      <c r="I782" s="22" t="s">
        <v>14</v>
      </c>
      <c r="J782" s="22">
        <v>4.0999999999999996</v>
      </c>
    </row>
    <row r="783" spans="1:10" x14ac:dyDescent="0.25">
      <c r="A783" s="22" t="s">
        <v>33</v>
      </c>
      <c r="B783" s="22" t="s">
        <v>841</v>
      </c>
      <c r="C783" s="22">
        <v>1220</v>
      </c>
      <c r="D783" s="22">
        <v>512</v>
      </c>
      <c r="E783" s="22">
        <v>12</v>
      </c>
      <c r="F783" s="22">
        <v>5500</v>
      </c>
      <c r="G783" s="22">
        <v>5.7</v>
      </c>
      <c r="H783" s="22" t="s">
        <v>21</v>
      </c>
      <c r="I783" s="22" t="s">
        <v>14</v>
      </c>
      <c r="J783" s="22">
        <v>3.9</v>
      </c>
    </row>
    <row r="784" spans="1:10" x14ac:dyDescent="0.25">
      <c r="A784" s="22" t="s">
        <v>91</v>
      </c>
      <c r="B784" s="22" t="s">
        <v>842</v>
      </c>
      <c r="C784" s="22">
        <v>1221</v>
      </c>
      <c r="D784" s="22">
        <v>1024</v>
      </c>
      <c r="E784" s="22">
        <v>50</v>
      </c>
      <c r="F784" s="22">
        <v>5000</v>
      </c>
      <c r="G784" s="22">
        <v>6.3</v>
      </c>
      <c r="H784" s="22" t="s">
        <v>21</v>
      </c>
      <c r="I784" s="22" t="s">
        <v>14</v>
      </c>
      <c r="J784" s="22">
        <v>4</v>
      </c>
    </row>
    <row r="785" spans="1:10" x14ac:dyDescent="0.25">
      <c r="A785" s="22" t="s">
        <v>24</v>
      </c>
      <c r="B785" s="22" t="s">
        <v>843</v>
      </c>
      <c r="C785" s="22">
        <v>1221</v>
      </c>
      <c r="D785" s="22">
        <v>512</v>
      </c>
      <c r="E785" s="22">
        <v>48</v>
      </c>
      <c r="F785" s="22">
        <v>4500</v>
      </c>
      <c r="G785" s="22">
        <v>7</v>
      </c>
      <c r="H785" s="22" t="s">
        <v>21</v>
      </c>
      <c r="I785" s="22" t="s">
        <v>14</v>
      </c>
      <c r="J785" s="22">
        <v>3.9</v>
      </c>
    </row>
    <row r="786" spans="1:10" x14ac:dyDescent="0.25">
      <c r="A786" s="22" t="s">
        <v>24</v>
      </c>
      <c r="B786" s="22" t="s">
        <v>844</v>
      </c>
      <c r="C786" s="22">
        <v>1221</v>
      </c>
      <c r="D786" s="22">
        <v>512</v>
      </c>
      <c r="E786" s="22">
        <v>12</v>
      </c>
      <c r="F786" s="22">
        <v>5500</v>
      </c>
      <c r="G786" s="22">
        <v>5.9</v>
      </c>
      <c r="H786" s="22" t="s">
        <v>21</v>
      </c>
      <c r="I786" s="22" t="s">
        <v>14</v>
      </c>
      <c r="J786" s="22">
        <v>5</v>
      </c>
    </row>
    <row r="787" spans="1:10" x14ac:dyDescent="0.25">
      <c r="A787" s="22" t="s">
        <v>24</v>
      </c>
      <c r="B787" s="22" t="s">
        <v>845</v>
      </c>
      <c r="C787" s="22">
        <v>1222</v>
      </c>
      <c r="D787" s="22">
        <v>1024</v>
      </c>
      <c r="E787" s="22">
        <v>48</v>
      </c>
      <c r="F787" s="22">
        <v>4000</v>
      </c>
      <c r="G787" s="22">
        <v>6.4</v>
      </c>
      <c r="H787" s="22" t="s">
        <v>21</v>
      </c>
      <c r="I787" s="22" t="s">
        <v>14</v>
      </c>
      <c r="J787" s="22">
        <v>5</v>
      </c>
    </row>
    <row r="788" spans="1:10" x14ac:dyDescent="0.25">
      <c r="A788" s="22" t="s">
        <v>24</v>
      </c>
      <c r="B788" s="22" t="s">
        <v>846</v>
      </c>
      <c r="C788" s="22">
        <v>1223</v>
      </c>
      <c r="D788" s="22">
        <v>256</v>
      </c>
      <c r="E788" s="22">
        <v>48</v>
      </c>
      <c r="F788" s="22">
        <v>5500</v>
      </c>
      <c r="G788" s="22">
        <v>6.8</v>
      </c>
      <c r="H788" s="22" t="s">
        <v>13</v>
      </c>
      <c r="I788" s="22" t="s">
        <v>14</v>
      </c>
      <c r="J788" s="22">
        <v>4.0999999999999996</v>
      </c>
    </row>
    <row r="789" spans="1:10" x14ac:dyDescent="0.25">
      <c r="A789" s="22" t="s">
        <v>52</v>
      </c>
      <c r="B789" s="22" t="s">
        <v>847</v>
      </c>
      <c r="C789" s="22">
        <v>1224</v>
      </c>
      <c r="D789" s="22">
        <v>64</v>
      </c>
      <c r="E789" s="22">
        <v>48</v>
      </c>
      <c r="F789" s="22">
        <v>5000</v>
      </c>
      <c r="G789" s="22">
        <v>6</v>
      </c>
      <c r="H789" s="22" t="s">
        <v>13</v>
      </c>
      <c r="I789" s="22" t="s">
        <v>14</v>
      </c>
      <c r="J789" s="22">
        <v>4.3</v>
      </c>
    </row>
    <row r="790" spans="1:10" x14ac:dyDescent="0.25">
      <c r="A790" s="22" t="s">
        <v>16</v>
      </c>
      <c r="B790" s="22" t="s">
        <v>848</v>
      </c>
      <c r="C790" s="22">
        <v>1225</v>
      </c>
      <c r="D790" s="22">
        <v>1024</v>
      </c>
      <c r="E790" s="22">
        <v>108</v>
      </c>
      <c r="F790" s="22">
        <v>4000</v>
      </c>
      <c r="G790" s="22">
        <v>6</v>
      </c>
      <c r="H790" s="22" t="s">
        <v>21</v>
      </c>
      <c r="I790" s="22" t="s">
        <v>14</v>
      </c>
      <c r="J790" s="22">
        <v>3.7</v>
      </c>
    </row>
    <row r="791" spans="1:10" x14ac:dyDescent="0.25">
      <c r="A791" s="22" t="s">
        <v>11</v>
      </c>
      <c r="B791" s="22" t="s">
        <v>849</v>
      </c>
      <c r="C791" s="22">
        <v>1229</v>
      </c>
      <c r="D791" s="22">
        <v>1024</v>
      </c>
      <c r="E791" s="22">
        <v>64</v>
      </c>
      <c r="F791" s="22">
        <v>5500</v>
      </c>
      <c r="G791" s="22">
        <v>6.4</v>
      </c>
      <c r="H791" s="22" t="s">
        <v>21</v>
      </c>
      <c r="I791" s="22" t="s">
        <v>14</v>
      </c>
      <c r="J791" s="22">
        <v>4.2</v>
      </c>
    </row>
    <row r="792" spans="1:10" x14ac:dyDescent="0.25">
      <c r="A792" s="22" t="s">
        <v>19</v>
      </c>
      <c r="B792" s="22" t="s">
        <v>850</v>
      </c>
      <c r="C792" s="22">
        <v>1229</v>
      </c>
      <c r="D792" s="22">
        <v>64</v>
      </c>
      <c r="E792" s="22">
        <v>48</v>
      </c>
      <c r="F792" s="22">
        <v>5000</v>
      </c>
      <c r="G792" s="22">
        <v>6.3</v>
      </c>
      <c r="H792" s="22" t="s">
        <v>21</v>
      </c>
      <c r="I792" s="22" t="s">
        <v>14</v>
      </c>
      <c r="J792" s="22">
        <v>3.7</v>
      </c>
    </row>
    <row r="793" spans="1:10" x14ac:dyDescent="0.25">
      <c r="A793" s="22" t="s">
        <v>52</v>
      </c>
      <c r="B793" s="22" t="s">
        <v>851</v>
      </c>
      <c r="C793" s="22">
        <v>1230</v>
      </c>
      <c r="D793" s="22">
        <v>128</v>
      </c>
      <c r="E793" s="22">
        <v>200</v>
      </c>
      <c r="F793" s="22">
        <v>4000</v>
      </c>
      <c r="G793" s="22">
        <v>5.6</v>
      </c>
      <c r="H793" s="22" t="s">
        <v>13</v>
      </c>
      <c r="I793" s="22" t="s">
        <v>14</v>
      </c>
      <c r="J793" s="22">
        <v>4.4000000000000004</v>
      </c>
    </row>
    <row r="794" spans="1:10" x14ac:dyDescent="0.25">
      <c r="A794" s="22" t="s">
        <v>19</v>
      </c>
      <c r="B794" s="22" t="s">
        <v>852</v>
      </c>
      <c r="C794" s="22">
        <v>1231</v>
      </c>
      <c r="D794" s="22">
        <v>128</v>
      </c>
      <c r="E794" s="22">
        <v>50</v>
      </c>
      <c r="F794" s="22">
        <v>6000</v>
      </c>
      <c r="G794" s="22">
        <v>6.5</v>
      </c>
      <c r="H794" s="22" t="s">
        <v>13</v>
      </c>
      <c r="I794" s="22" t="s">
        <v>14</v>
      </c>
      <c r="J794" s="22">
        <v>4</v>
      </c>
    </row>
    <row r="795" spans="1:10" x14ac:dyDescent="0.25">
      <c r="A795" s="22" t="s">
        <v>58</v>
      </c>
      <c r="B795" s="22" t="s">
        <v>853</v>
      </c>
      <c r="C795" s="22">
        <v>1233</v>
      </c>
      <c r="D795" s="22">
        <v>128</v>
      </c>
      <c r="E795" s="22">
        <v>12</v>
      </c>
      <c r="F795" s="22">
        <v>4000</v>
      </c>
      <c r="G795" s="22">
        <v>5.7</v>
      </c>
      <c r="H795" s="22" t="s">
        <v>13</v>
      </c>
      <c r="I795" s="22" t="s">
        <v>60</v>
      </c>
      <c r="J795" s="22">
        <v>3.6</v>
      </c>
    </row>
    <row r="796" spans="1:10" x14ac:dyDescent="0.25">
      <c r="A796" s="22" t="s">
        <v>47</v>
      </c>
      <c r="B796" s="22" t="s">
        <v>854</v>
      </c>
      <c r="C796" s="22">
        <v>1234</v>
      </c>
      <c r="D796" s="22">
        <v>512</v>
      </c>
      <c r="E796" s="22">
        <v>48</v>
      </c>
      <c r="F796" s="22">
        <v>4000</v>
      </c>
      <c r="G796" s="22">
        <v>6.2</v>
      </c>
      <c r="H796" s="22" t="s">
        <v>13</v>
      </c>
      <c r="I796" s="22" t="s">
        <v>14</v>
      </c>
      <c r="J796" s="22">
        <v>4.9000000000000004</v>
      </c>
    </row>
    <row r="797" spans="1:10" x14ac:dyDescent="0.25">
      <c r="A797" s="22" t="s">
        <v>33</v>
      </c>
      <c r="B797" s="22" t="s">
        <v>855</v>
      </c>
      <c r="C797" s="22">
        <v>1235</v>
      </c>
      <c r="D797" s="22">
        <v>64</v>
      </c>
      <c r="E797" s="22">
        <v>108</v>
      </c>
      <c r="F797" s="22">
        <v>6000</v>
      </c>
      <c r="G797" s="22">
        <v>7.1</v>
      </c>
      <c r="H797" s="22" t="s">
        <v>21</v>
      </c>
      <c r="I797" s="22" t="s">
        <v>14</v>
      </c>
      <c r="J797" s="22">
        <v>3.6</v>
      </c>
    </row>
    <row r="798" spans="1:10" x14ac:dyDescent="0.25">
      <c r="A798" s="22" t="s">
        <v>19</v>
      </c>
      <c r="B798" s="22" t="s">
        <v>856</v>
      </c>
      <c r="C798" s="22">
        <v>1236</v>
      </c>
      <c r="D798" s="22">
        <v>128</v>
      </c>
      <c r="E798" s="22">
        <v>64</v>
      </c>
      <c r="F798" s="22">
        <v>6000</v>
      </c>
      <c r="G798" s="22">
        <v>5.6</v>
      </c>
      <c r="H798" s="22" t="s">
        <v>13</v>
      </c>
      <c r="I798" s="22" t="s">
        <v>14</v>
      </c>
      <c r="J798" s="22">
        <v>4.7</v>
      </c>
    </row>
    <row r="799" spans="1:10" x14ac:dyDescent="0.25">
      <c r="A799" s="22" t="s">
        <v>47</v>
      </c>
      <c r="B799" s="22" t="s">
        <v>857</v>
      </c>
      <c r="C799" s="22">
        <v>1238</v>
      </c>
      <c r="D799" s="22">
        <v>1024</v>
      </c>
      <c r="E799" s="22">
        <v>64</v>
      </c>
      <c r="F799" s="22">
        <v>5000</v>
      </c>
      <c r="G799" s="22">
        <v>7.2</v>
      </c>
      <c r="H799" s="22" t="s">
        <v>21</v>
      </c>
      <c r="I799" s="22" t="s">
        <v>14</v>
      </c>
      <c r="J799" s="22">
        <v>4.9000000000000004</v>
      </c>
    </row>
    <row r="800" spans="1:10" x14ac:dyDescent="0.25">
      <c r="A800" s="22" t="s">
        <v>24</v>
      </c>
      <c r="B800" s="22" t="s">
        <v>858</v>
      </c>
      <c r="C800" s="22">
        <v>1241</v>
      </c>
      <c r="D800" s="22">
        <v>128</v>
      </c>
      <c r="E800" s="22">
        <v>108</v>
      </c>
      <c r="F800" s="22">
        <v>5500</v>
      </c>
      <c r="G800" s="22">
        <v>6.4</v>
      </c>
      <c r="H800" s="22" t="s">
        <v>21</v>
      </c>
      <c r="I800" s="22" t="s">
        <v>14</v>
      </c>
      <c r="J800" s="22">
        <v>3.6</v>
      </c>
    </row>
    <row r="801" spans="1:10" x14ac:dyDescent="0.25">
      <c r="A801" s="22" t="s">
        <v>19</v>
      </c>
      <c r="B801" s="22" t="s">
        <v>859</v>
      </c>
      <c r="C801" s="22">
        <v>1246</v>
      </c>
      <c r="D801" s="22">
        <v>512</v>
      </c>
      <c r="E801" s="22">
        <v>108</v>
      </c>
      <c r="F801" s="22">
        <v>5500</v>
      </c>
      <c r="G801" s="22">
        <v>6.6</v>
      </c>
      <c r="H801" s="22" t="s">
        <v>21</v>
      </c>
      <c r="I801" s="22" t="s">
        <v>14</v>
      </c>
      <c r="J801" s="22">
        <v>4.4000000000000004</v>
      </c>
    </row>
    <row r="802" spans="1:10" x14ac:dyDescent="0.25">
      <c r="A802" s="22" t="s">
        <v>91</v>
      </c>
      <c r="B802" s="22" t="s">
        <v>860</v>
      </c>
      <c r="C802" s="22">
        <v>1247</v>
      </c>
      <c r="D802" s="22">
        <v>1024</v>
      </c>
      <c r="E802" s="22">
        <v>12</v>
      </c>
      <c r="F802" s="22">
        <v>5000</v>
      </c>
      <c r="G802" s="22">
        <v>5.6</v>
      </c>
      <c r="H802" s="22" t="s">
        <v>13</v>
      </c>
      <c r="I802" s="22" t="s">
        <v>14</v>
      </c>
      <c r="J802" s="22">
        <v>3.8</v>
      </c>
    </row>
    <row r="803" spans="1:10" x14ac:dyDescent="0.25">
      <c r="A803" s="22" t="s">
        <v>11</v>
      </c>
      <c r="B803" s="22" t="s">
        <v>861</v>
      </c>
      <c r="C803" s="22">
        <v>1249</v>
      </c>
      <c r="D803" s="22">
        <v>512</v>
      </c>
      <c r="E803" s="22">
        <v>108</v>
      </c>
      <c r="F803" s="22">
        <v>6000</v>
      </c>
      <c r="G803" s="22">
        <v>5.6</v>
      </c>
      <c r="H803" s="22" t="s">
        <v>21</v>
      </c>
      <c r="I803" s="22" t="s">
        <v>14</v>
      </c>
      <c r="J803" s="22">
        <v>4.7</v>
      </c>
    </row>
    <row r="804" spans="1:10" x14ac:dyDescent="0.25">
      <c r="A804" s="22" t="s">
        <v>91</v>
      </c>
      <c r="B804" s="22" t="s">
        <v>862</v>
      </c>
      <c r="C804" s="22">
        <v>1249</v>
      </c>
      <c r="D804" s="22">
        <v>256</v>
      </c>
      <c r="E804" s="22">
        <v>50</v>
      </c>
      <c r="F804" s="22">
        <v>5000</v>
      </c>
      <c r="G804" s="22">
        <v>6.2</v>
      </c>
      <c r="H804" s="22" t="s">
        <v>13</v>
      </c>
      <c r="I804" s="22" t="s">
        <v>14</v>
      </c>
      <c r="J804" s="22">
        <v>4.5</v>
      </c>
    </row>
    <row r="805" spans="1:10" x14ac:dyDescent="0.25">
      <c r="A805" s="22" t="s">
        <v>16</v>
      </c>
      <c r="B805" s="22" t="s">
        <v>863</v>
      </c>
      <c r="C805" s="22">
        <v>1249</v>
      </c>
      <c r="D805" s="22">
        <v>1024</v>
      </c>
      <c r="E805" s="22">
        <v>108</v>
      </c>
      <c r="F805" s="22">
        <v>6000</v>
      </c>
      <c r="G805" s="22">
        <v>6.1</v>
      </c>
      <c r="H805" s="22" t="s">
        <v>21</v>
      </c>
      <c r="I805" s="22" t="s">
        <v>14</v>
      </c>
      <c r="J805" s="22">
        <v>4.4000000000000004</v>
      </c>
    </row>
    <row r="806" spans="1:10" x14ac:dyDescent="0.25">
      <c r="A806" s="22" t="s">
        <v>16</v>
      </c>
      <c r="B806" s="22" t="s">
        <v>864</v>
      </c>
      <c r="C806" s="22">
        <v>1250</v>
      </c>
      <c r="D806" s="22">
        <v>128</v>
      </c>
      <c r="E806" s="22">
        <v>48</v>
      </c>
      <c r="F806" s="22">
        <v>6000</v>
      </c>
      <c r="G806" s="22">
        <v>6.6</v>
      </c>
      <c r="H806" s="22" t="s">
        <v>13</v>
      </c>
      <c r="I806" s="22" t="s">
        <v>14</v>
      </c>
      <c r="J806" s="22">
        <v>4.9000000000000004</v>
      </c>
    </row>
    <row r="807" spans="1:10" x14ac:dyDescent="0.25">
      <c r="A807" s="22" t="s">
        <v>11</v>
      </c>
      <c r="B807" s="22" t="s">
        <v>865</v>
      </c>
      <c r="C807" s="22">
        <v>1251</v>
      </c>
      <c r="D807" s="22">
        <v>128</v>
      </c>
      <c r="E807" s="22">
        <v>200</v>
      </c>
      <c r="F807" s="22">
        <v>4000</v>
      </c>
      <c r="G807" s="22">
        <v>6.7</v>
      </c>
      <c r="H807" s="22" t="s">
        <v>13</v>
      </c>
      <c r="I807" s="22" t="s">
        <v>14</v>
      </c>
      <c r="J807" s="22">
        <v>3.9</v>
      </c>
    </row>
    <row r="808" spans="1:10" x14ac:dyDescent="0.25">
      <c r="A808" s="22" t="s">
        <v>91</v>
      </c>
      <c r="B808" s="22" t="s">
        <v>866</v>
      </c>
      <c r="C808" s="22">
        <v>1252</v>
      </c>
      <c r="D808" s="22">
        <v>64</v>
      </c>
      <c r="E808" s="22">
        <v>50</v>
      </c>
      <c r="F808" s="22">
        <v>4000</v>
      </c>
      <c r="G808" s="22">
        <v>6.9</v>
      </c>
      <c r="H808" s="22" t="s">
        <v>21</v>
      </c>
      <c r="I808" s="22" t="s">
        <v>14</v>
      </c>
      <c r="J808" s="22">
        <v>4.2</v>
      </c>
    </row>
    <row r="809" spans="1:10" x14ac:dyDescent="0.25">
      <c r="A809" s="22" t="s">
        <v>19</v>
      </c>
      <c r="B809" s="22" t="s">
        <v>867</v>
      </c>
      <c r="C809" s="22">
        <v>1255</v>
      </c>
      <c r="D809" s="22">
        <v>64</v>
      </c>
      <c r="E809" s="22">
        <v>200</v>
      </c>
      <c r="F809" s="22">
        <v>5000</v>
      </c>
      <c r="G809" s="22">
        <v>6.6</v>
      </c>
      <c r="H809" s="22" t="s">
        <v>21</v>
      </c>
      <c r="I809" s="22" t="s">
        <v>14</v>
      </c>
      <c r="J809" s="22">
        <v>4.0999999999999996</v>
      </c>
    </row>
    <row r="810" spans="1:10" x14ac:dyDescent="0.25">
      <c r="A810" s="22" t="s">
        <v>19</v>
      </c>
      <c r="B810" s="22" t="s">
        <v>868</v>
      </c>
      <c r="C810" s="22">
        <v>1255</v>
      </c>
      <c r="D810" s="22">
        <v>512</v>
      </c>
      <c r="E810" s="22">
        <v>50</v>
      </c>
      <c r="F810" s="22">
        <v>5500</v>
      </c>
      <c r="G810" s="22">
        <v>6</v>
      </c>
      <c r="H810" s="22" t="s">
        <v>21</v>
      </c>
      <c r="I810" s="22" t="s">
        <v>14</v>
      </c>
      <c r="J810" s="22">
        <v>4</v>
      </c>
    </row>
    <row r="811" spans="1:10" x14ac:dyDescent="0.25">
      <c r="A811" s="22" t="s">
        <v>52</v>
      </c>
      <c r="B811" s="22" t="s">
        <v>869</v>
      </c>
      <c r="C811" s="22">
        <v>1256</v>
      </c>
      <c r="D811" s="22">
        <v>512</v>
      </c>
      <c r="E811" s="22">
        <v>50</v>
      </c>
      <c r="F811" s="22">
        <v>5000</v>
      </c>
      <c r="G811" s="22">
        <v>7.1</v>
      </c>
      <c r="H811" s="22" t="s">
        <v>21</v>
      </c>
      <c r="I811" s="22" t="s">
        <v>14</v>
      </c>
      <c r="J811" s="22">
        <v>4.7</v>
      </c>
    </row>
    <row r="812" spans="1:10" x14ac:dyDescent="0.25">
      <c r="A812" s="22" t="s">
        <v>33</v>
      </c>
      <c r="B812" s="22" t="s">
        <v>870</v>
      </c>
      <c r="C812" s="22">
        <v>1257</v>
      </c>
      <c r="D812" s="22">
        <v>1024</v>
      </c>
      <c r="E812" s="22">
        <v>200</v>
      </c>
      <c r="F812" s="22">
        <v>4500</v>
      </c>
      <c r="G812" s="22">
        <v>5.8</v>
      </c>
      <c r="H812" s="22" t="s">
        <v>13</v>
      </c>
      <c r="I812" s="22" t="s">
        <v>14</v>
      </c>
      <c r="J812" s="22">
        <v>4.3</v>
      </c>
    </row>
    <row r="813" spans="1:10" x14ac:dyDescent="0.25">
      <c r="A813" s="22" t="s">
        <v>24</v>
      </c>
      <c r="B813" s="22" t="s">
        <v>871</v>
      </c>
      <c r="C813" s="22">
        <v>1257</v>
      </c>
      <c r="D813" s="22">
        <v>1024</v>
      </c>
      <c r="E813" s="22">
        <v>108</v>
      </c>
      <c r="F813" s="22">
        <v>5000</v>
      </c>
      <c r="G813" s="22">
        <v>5.9</v>
      </c>
      <c r="H813" s="22" t="s">
        <v>21</v>
      </c>
      <c r="I813" s="22" t="s">
        <v>14</v>
      </c>
      <c r="J813" s="22">
        <v>3.5</v>
      </c>
    </row>
    <row r="814" spans="1:10" x14ac:dyDescent="0.25">
      <c r="A814" s="22" t="s">
        <v>24</v>
      </c>
      <c r="B814" s="22" t="s">
        <v>872</v>
      </c>
      <c r="C814" s="22">
        <v>1258</v>
      </c>
      <c r="D814" s="22">
        <v>64</v>
      </c>
      <c r="E814" s="22">
        <v>108</v>
      </c>
      <c r="F814" s="22">
        <v>4500</v>
      </c>
      <c r="G814" s="22">
        <v>6.4</v>
      </c>
      <c r="H814" s="22" t="s">
        <v>21</v>
      </c>
      <c r="I814" s="22" t="s">
        <v>14</v>
      </c>
      <c r="J814" s="22">
        <v>3.6</v>
      </c>
    </row>
    <row r="815" spans="1:10" x14ac:dyDescent="0.25">
      <c r="A815" s="22" t="s">
        <v>16</v>
      </c>
      <c r="B815" s="22" t="s">
        <v>873</v>
      </c>
      <c r="C815" s="22">
        <v>1261</v>
      </c>
      <c r="D815" s="22">
        <v>512</v>
      </c>
      <c r="E815" s="22">
        <v>50</v>
      </c>
      <c r="F815" s="22">
        <v>5500</v>
      </c>
      <c r="G815" s="22">
        <v>6.3</v>
      </c>
      <c r="H815" s="22" t="s">
        <v>21</v>
      </c>
      <c r="I815" s="22" t="s">
        <v>14</v>
      </c>
      <c r="J815" s="22">
        <v>3.9</v>
      </c>
    </row>
    <row r="816" spans="1:10" x14ac:dyDescent="0.25">
      <c r="A816" s="22" t="s">
        <v>24</v>
      </c>
      <c r="B816" s="22" t="s">
        <v>874</v>
      </c>
      <c r="C816" s="22">
        <v>1267</v>
      </c>
      <c r="D816" s="22">
        <v>512</v>
      </c>
      <c r="E816" s="22">
        <v>64</v>
      </c>
      <c r="F816" s="22">
        <v>5500</v>
      </c>
      <c r="G816" s="22">
        <v>6.5</v>
      </c>
      <c r="H816" s="22" t="s">
        <v>21</v>
      </c>
      <c r="I816" s="22" t="s">
        <v>14</v>
      </c>
      <c r="J816" s="22">
        <v>3.6</v>
      </c>
    </row>
    <row r="817" spans="1:10" x14ac:dyDescent="0.25">
      <c r="A817" s="22" t="s">
        <v>33</v>
      </c>
      <c r="B817" s="22" t="s">
        <v>875</v>
      </c>
      <c r="C817" s="22">
        <v>1267</v>
      </c>
      <c r="D817" s="22">
        <v>512</v>
      </c>
      <c r="E817" s="22">
        <v>108</v>
      </c>
      <c r="F817" s="22">
        <v>5000</v>
      </c>
      <c r="G817" s="22">
        <v>6.7</v>
      </c>
      <c r="H817" s="22" t="s">
        <v>13</v>
      </c>
      <c r="I817" s="22" t="s">
        <v>14</v>
      </c>
      <c r="J817" s="22">
        <v>4.7</v>
      </c>
    </row>
    <row r="818" spans="1:10" x14ac:dyDescent="0.25">
      <c r="A818" s="22" t="s">
        <v>47</v>
      </c>
      <c r="B818" s="22" t="s">
        <v>876</v>
      </c>
      <c r="C818" s="22">
        <v>1269</v>
      </c>
      <c r="D818" s="22">
        <v>64</v>
      </c>
      <c r="E818" s="22">
        <v>64</v>
      </c>
      <c r="F818" s="22">
        <v>6000</v>
      </c>
      <c r="G818" s="22">
        <v>6.7</v>
      </c>
      <c r="H818" s="22" t="s">
        <v>13</v>
      </c>
      <c r="I818" s="22" t="s">
        <v>14</v>
      </c>
      <c r="J818" s="22">
        <v>3.5</v>
      </c>
    </row>
    <row r="819" spans="1:10" x14ac:dyDescent="0.25">
      <c r="A819" s="22" t="s">
        <v>11</v>
      </c>
      <c r="B819" s="22" t="s">
        <v>877</v>
      </c>
      <c r="C819" s="22">
        <v>1271</v>
      </c>
      <c r="D819" s="22">
        <v>64</v>
      </c>
      <c r="E819" s="22">
        <v>48</v>
      </c>
      <c r="F819" s="22">
        <v>5500</v>
      </c>
      <c r="G819" s="22">
        <v>6.7</v>
      </c>
      <c r="H819" s="22" t="s">
        <v>13</v>
      </c>
      <c r="I819" s="22" t="s">
        <v>14</v>
      </c>
      <c r="J819" s="22">
        <v>5</v>
      </c>
    </row>
    <row r="820" spans="1:10" x14ac:dyDescent="0.25">
      <c r="A820" s="22" t="s">
        <v>58</v>
      </c>
      <c r="B820" s="22" t="s">
        <v>878</v>
      </c>
      <c r="C820" s="22">
        <v>1273</v>
      </c>
      <c r="D820" s="22">
        <v>512</v>
      </c>
      <c r="E820" s="22">
        <v>12</v>
      </c>
      <c r="F820" s="22">
        <v>4000</v>
      </c>
      <c r="G820" s="22">
        <v>5.7</v>
      </c>
      <c r="H820" s="22" t="s">
        <v>13</v>
      </c>
      <c r="I820" s="22" t="s">
        <v>60</v>
      </c>
      <c r="J820" s="22">
        <v>4.7</v>
      </c>
    </row>
    <row r="821" spans="1:10" x14ac:dyDescent="0.25">
      <c r="A821" s="22" t="s">
        <v>11</v>
      </c>
      <c r="B821" s="22" t="s">
        <v>879</v>
      </c>
      <c r="C821" s="22">
        <v>1274</v>
      </c>
      <c r="D821" s="22">
        <v>1024</v>
      </c>
      <c r="E821" s="22">
        <v>64</v>
      </c>
      <c r="F821" s="22">
        <v>4000</v>
      </c>
      <c r="G821" s="22">
        <v>6.8</v>
      </c>
      <c r="H821" s="22" t="s">
        <v>21</v>
      </c>
      <c r="I821" s="22" t="s">
        <v>14</v>
      </c>
      <c r="J821" s="22">
        <v>4.3</v>
      </c>
    </row>
    <row r="822" spans="1:10" x14ac:dyDescent="0.25">
      <c r="A822" s="22" t="s">
        <v>47</v>
      </c>
      <c r="B822" s="22" t="s">
        <v>880</v>
      </c>
      <c r="C822" s="22">
        <v>1274</v>
      </c>
      <c r="D822" s="22">
        <v>256</v>
      </c>
      <c r="E822" s="22">
        <v>64</v>
      </c>
      <c r="F822" s="22">
        <v>4000</v>
      </c>
      <c r="G822" s="22">
        <v>5.8</v>
      </c>
      <c r="H822" s="22" t="s">
        <v>13</v>
      </c>
      <c r="I822" s="22" t="s">
        <v>14</v>
      </c>
      <c r="J822" s="22">
        <v>4.2</v>
      </c>
    </row>
    <row r="823" spans="1:10" x14ac:dyDescent="0.25">
      <c r="A823" s="22" t="s">
        <v>58</v>
      </c>
      <c r="B823" s="22" t="s">
        <v>881</v>
      </c>
      <c r="C823" s="22">
        <v>1275</v>
      </c>
      <c r="D823" s="22">
        <v>1024</v>
      </c>
      <c r="E823" s="22">
        <v>50</v>
      </c>
      <c r="F823" s="22">
        <v>4500</v>
      </c>
      <c r="G823" s="22">
        <v>5.9</v>
      </c>
      <c r="H823" s="22" t="s">
        <v>13</v>
      </c>
      <c r="I823" s="22" t="s">
        <v>60</v>
      </c>
      <c r="J823" s="22">
        <v>3.7</v>
      </c>
    </row>
    <row r="824" spans="1:10" x14ac:dyDescent="0.25">
      <c r="A824" s="22" t="s">
        <v>19</v>
      </c>
      <c r="B824" s="22" t="s">
        <v>882</v>
      </c>
      <c r="C824" s="22">
        <v>1276</v>
      </c>
      <c r="D824" s="22">
        <v>256</v>
      </c>
      <c r="E824" s="22">
        <v>108</v>
      </c>
      <c r="F824" s="22">
        <v>5500</v>
      </c>
      <c r="G824" s="22">
        <v>6.4</v>
      </c>
      <c r="H824" s="22" t="s">
        <v>13</v>
      </c>
      <c r="I824" s="22" t="s">
        <v>14</v>
      </c>
      <c r="J824" s="22">
        <v>4.0999999999999996</v>
      </c>
    </row>
    <row r="825" spans="1:10" x14ac:dyDescent="0.25">
      <c r="A825" s="22" t="s">
        <v>24</v>
      </c>
      <c r="B825" s="22" t="s">
        <v>883</v>
      </c>
      <c r="C825" s="22">
        <v>1276</v>
      </c>
      <c r="D825" s="22">
        <v>512</v>
      </c>
      <c r="E825" s="22">
        <v>48</v>
      </c>
      <c r="F825" s="22">
        <v>6000</v>
      </c>
      <c r="G825" s="22">
        <v>7.1</v>
      </c>
      <c r="H825" s="22" t="s">
        <v>13</v>
      </c>
      <c r="I825" s="22" t="s">
        <v>14</v>
      </c>
      <c r="J825" s="22">
        <v>4.8</v>
      </c>
    </row>
    <row r="826" spans="1:10" x14ac:dyDescent="0.25">
      <c r="A826" s="22" t="s">
        <v>19</v>
      </c>
      <c r="B826" s="22" t="s">
        <v>884</v>
      </c>
      <c r="C826" s="22">
        <v>1277</v>
      </c>
      <c r="D826" s="22">
        <v>64</v>
      </c>
      <c r="E826" s="22">
        <v>108</v>
      </c>
      <c r="F826" s="22">
        <v>5000</v>
      </c>
      <c r="G826" s="22">
        <v>7</v>
      </c>
      <c r="H826" s="22" t="s">
        <v>13</v>
      </c>
      <c r="I826" s="22" t="s">
        <v>14</v>
      </c>
      <c r="J826" s="22">
        <v>4.2</v>
      </c>
    </row>
    <row r="827" spans="1:10" x14ac:dyDescent="0.25">
      <c r="A827" s="22" t="s">
        <v>47</v>
      </c>
      <c r="B827" s="22" t="s">
        <v>885</v>
      </c>
      <c r="C827" s="22">
        <v>1278</v>
      </c>
      <c r="D827" s="22">
        <v>128</v>
      </c>
      <c r="E827" s="22">
        <v>200</v>
      </c>
      <c r="F827" s="22">
        <v>5000</v>
      </c>
      <c r="G827" s="22">
        <v>6.5</v>
      </c>
      <c r="H827" s="22" t="s">
        <v>13</v>
      </c>
      <c r="I827" s="22" t="s">
        <v>14</v>
      </c>
      <c r="J827" s="22">
        <v>3.9</v>
      </c>
    </row>
    <row r="828" spans="1:10" x14ac:dyDescent="0.25">
      <c r="A828" s="22" t="s">
        <v>52</v>
      </c>
      <c r="B828" s="22" t="s">
        <v>886</v>
      </c>
      <c r="C828" s="22">
        <v>1278</v>
      </c>
      <c r="D828" s="22">
        <v>1024</v>
      </c>
      <c r="E828" s="22">
        <v>64</v>
      </c>
      <c r="F828" s="22">
        <v>6000</v>
      </c>
      <c r="G828" s="22">
        <v>5.5</v>
      </c>
      <c r="H828" s="22" t="s">
        <v>13</v>
      </c>
      <c r="I828" s="22" t="s">
        <v>14</v>
      </c>
      <c r="J828" s="22">
        <v>4.2</v>
      </c>
    </row>
    <row r="829" spans="1:10" x14ac:dyDescent="0.25">
      <c r="A829" s="22" t="s">
        <v>47</v>
      </c>
      <c r="B829" s="22" t="s">
        <v>887</v>
      </c>
      <c r="C829" s="22">
        <v>1279</v>
      </c>
      <c r="D829" s="22">
        <v>64</v>
      </c>
      <c r="E829" s="22">
        <v>12</v>
      </c>
      <c r="F829" s="22">
        <v>4500</v>
      </c>
      <c r="G829" s="22">
        <v>6.9</v>
      </c>
      <c r="H829" s="22" t="s">
        <v>21</v>
      </c>
      <c r="I829" s="22" t="s">
        <v>14</v>
      </c>
      <c r="J829" s="22">
        <v>3.7</v>
      </c>
    </row>
    <row r="830" spans="1:10" x14ac:dyDescent="0.25">
      <c r="A830" s="22" t="s">
        <v>33</v>
      </c>
      <c r="B830" s="22" t="s">
        <v>888</v>
      </c>
      <c r="C830" s="22">
        <v>1282</v>
      </c>
      <c r="D830" s="22">
        <v>128</v>
      </c>
      <c r="E830" s="22">
        <v>64</v>
      </c>
      <c r="F830" s="22">
        <v>5000</v>
      </c>
      <c r="G830" s="22">
        <v>6.6</v>
      </c>
      <c r="H830" s="22" t="s">
        <v>21</v>
      </c>
      <c r="I830" s="22" t="s">
        <v>14</v>
      </c>
      <c r="J830" s="22">
        <v>4.4000000000000004</v>
      </c>
    </row>
    <row r="831" spans="1:10" x14ac:dyDescent="0.25">
      <c r="A831" s="22" t="s">
        <v>16</v>
      </c>
      <c r="B831" s="22" t="s">
        <v>889</v>
      </c>
      <c r="C831" s="22">
        <v>1282</v>
      </c>
      <c r="D831" s="22">
        <v>1024</v>
      </c>
      <c r="E831" s="22">
        <v>200</v>
      </c>
      <c r="F831" s="22">
        <v>5000</v>
      </c>
      <c r="G831" s="22">
        <v>6.6</v>
      </c>
      <c r="H831" s="22" t="s">
        <v>13</v>
      </c>
      <c r="I831" s="22" t="s">
        <v>14</v>
      </c>
      <c r="J831" s="22">
        <v>4</v>
      </c>
    </row>
    <row r="832" spans="1:10" x14ac:dyDescent="0.25">
      <c r="A832" s="22" t="s">
        <v>47</v>
      </c>
      <c r="B832" s="22" t="s">
        <v>890</v>
      </c>
      <c r="C832" s="22">
        <v>1283</v>
      </c>
      <c r="D832" s="22">
        <v>64</v>
      </c>
      <c r="E832" s="22">
        <v>200</v>
      </c>
      <c r="F832" s="22">
        <v>5500</v>
      </c>
      <c r="G832" s="22">
        <v>7</v>
      </c>
      <c r="H832" s="22" t="s">
        <v>13</v>
      </c>
      <c r="I832" s="22" t="s">
        <v>14</v>
      </c>
      <c r="J832" s="22">
        <v>4.9000000000000004</v>
      </c>
    </row>
    <row r="833" spans="1:10" x14ac:dyDescent="0.25">
      <c r="A833" s="22" t="s">
        <v>58</v>
      </c>
      <c r="B833" s="22" t="s">
        <v>891</v>
      </c>
      <c r="C833" s="22">
        <v>1284</v>
      </c>
      <c r="D833" s="22">
        <v>64</v>
      </c>
      <c r="E833" s="22">
        <v>50</v>
      </c>
      <c r="F833" s="22">
        <v>4000</v>
      </c>
      <c r="G833" s="22">
        <v>5.9</v>
      </c>
      <c r="H833" s="22" t="s">
        <v>13</v>
      </c>
      <c r="I833" s="22" t="s">
        <v>60</v>
      </c>
      <c r="J833" s="22">
        <v>4.0999999999999996</v>
      </c>
    </row>
    <row r="834" spans="1:10" x14ac:dyDescent="0.25">
      <c r="A834" s="22" t="s">
        <v>16</v>
      </c>
      <c r="B834" s="22" t="s">
        <v>892</v>
      </c>
      <c r="C834" s="22">
        <v>1285</v>
      </c>
      <c r="D834" s="22">
        <v>512</v>
      </c>
      <c r="E834" s="22">
        <v>50</v>
      </c>
      <c r="F834" s="22">
        <v>4000</v>
      </c>
      <c r="G834" s="22">
        <v>6.3</v>
      </c>
      <c r="H834" s="22" t="s">
        <v>13</v>
      </c>
      <c r="I834" s="22" t="s">
        <v>14</v>
      </c>
      <c r="J834" s="22">
        <v>4</v>
      </c>
    </row>
    <row r="835" spans="1:10" x14ac:dyDescent="0.25">
      <c r="A835" s="22" t="s">
        <v>24</v>
      </c>
      <c r="B835" s="22" t="s">
        <v>893</v>
      </c>
      <c r="C835" s="22">
        <v>1286</v>
      </c>
      <c r="D835" s="22">
        <v>64</v>
      </c>
      <c r="E835" s="22">
        <v>48</v>
      </c>
      <c r="F835" s="22">
        <v>5000</v>
      </c>
      <c r="G835" s="22">
        <v>6</v>
      </c>
      <c r="H835" s="22" t="s">
        <v>13</v>
      </c>
      <c r="I835" s="22" t="s">
        <v>14</v>
      </c>
      <c r="J835" s="22">
        <v>3.6</v>
      </c>
    </row>
    <row r="836" spans="1:10" x14ac:dyDescent="0.25">
      <c r="A836" s="22" t="s">
        <v>16</v>
      </c>
      <c r="B836" s="22" t="s">
        <v>894</v>
      </c>
      <c r="C836" s="22">
        <v>1286</v>
      </c>
      <c r="D836" s="22">
        <v>1024</v>
      </c>
      <c r="E836" s="22">
        <v>12</v>
      </c>
      <c r="F836" s="22">
        <v>5500</v>
      </c>
      <c r="G836" s="22">
        <v>5.8</v>
      </c>
      <c r="H836" s="22" t="s">
        <v>21</v>
      </c>
      <c r="I836" s="22" t="s">
        <v>14</v>
      </c>
      <c r="J836" s="22">
        <v>4.0999999999999996</v>
      </c>
    </row>
    <row r="837" spans="1:10" x14ac:dyDescent="0.25">
      <c r="A837" s="22" t="s">
        <v>58</v>
      </c>
      <c r="B837" s="22" t="s">
        <v>895</v>
      </c>
      <c r="C837" s="22">
        <v>1286</v>
      </c>
      <c r="D837" s="22">
        <v>256</v>
      </c>
      <c r="E837" s="22">
        <v>64</v>
      </c>
      <c r="F837" s="22">
        <v>6000</v>
      </c>
      <c r="G837" s="22">
        <v>6.4</v>
      </c>
      <c r="H837" s="22" t="s">
        <v>13</v>
      </c>
      <c r="I837" s="22" t="s">
        <v>60</v>
      </c>
      <c r="J837" s="22">
        <v>4.5</v>
      </c>
    </row>
    <row r="838" spans="1:10" x14ac:dyDescent="0.25">
      <c r="A838" s="22" t="s">
        <v>91</v>
      </c>
      <c r="B838" s="22" t="s">
        <v>896</v>
      </c>
      <c r="C838" s="22">
        <v>1288</v>
      </c>
      <c r="D838" s="22">
        <v>256</v>
      </c>
      <c r="E838" s="22">
        <v>108</v>
      </c>
      <c r="F838" s="22">
        <v>6000</v>
      </c>
      <c r="G838" s="22">
        <v>6.8</v>
      </c>
      <c r="H838" s="22" t="s">
        <v>21</v>
      </c>
      <c r="I838" s="22" t="s">
        <v>14</v>
      </c>
      <c r="J838" s="22">
        <v>3.9</v>
      </c>
    </row>
    <row r="839" spans="1:10" x14ac:dyDescent="0.25">
      <c r="A839" s="22" t="s">
        <v>58</v>
      </c>
      <c r="B839" s="22" t="s">
        <v>419</v>
      </c>
      <c r="C839" s="22">
        <v>1291</v>
      </c>
      <c r="D839" s="22">
        <v>1024</v>
      </c>
      <c r="E839" s="22">
        <v>64</v>
      </c>
      <c r="F839" s="22">
        <v>4500</v>
      </c>
      <c r="G839" s="22">
        <v>6.8</v>
      </c>
      <c r="H839" s="22" t="s">
        <v>21</v>
      </c>
      <c r="I839" s="22" t="s">
        <v>60</v>
      </c>
      <c r="J839" s="22">
        <v>3.9</v>
      </c>
    </row>
    <row r="840" spans="1:10" x14ac:dyDescent="0.25">
      <c r="A840" s="22" t="s">
        <v>47</v>
      </c>
      <c r="B840" s="22" t="s">
        <v>897</v>
      </c>
      <c r="C840" s="22">
        <v>1292</v>
      </c>
      <c r="D840" s="22">
        <v>512</v>
      </c>
      <c r="E840" s="22">
        <v>48</v>
      </c>
      <c r="F840" s="22">
        <v>5500</v>
      </c>
      <c r="G840" s="22">
        <v>7</v>
      </c>
      <c r="H840" s="22" t="s">
        <v>13</v>
      </c>
      <c r="I840" s="22" t="s">
        <v>14</v>
      </c>
      <c r="J840" s="22">
        <v>4.5</v>
      </c>
    </row>
    <row r="841" spans="1:10" x14ac:dyDescent="0.25">
      <c r="A841" s="22" t="s">
        <v>24</v>
      </c>
      <c r="B841" s="22" t="s">
        <v>187</v>
      </c>
      <c r="C841" s="22">
        <v>1292</v>
      </c>
      <c r="D841" s="22">
        <v>64</v>
      </c>
      <c r="E841" s="22">
        <v>108</v>
      </c>
      <c r="F841" s="22">
        <v>5000</v>
      </c>
      <c r="G841" s="22">
        <v>6.6</v>
      </c>
      <c r="H841" s="22" t="s">
        <v>21</v>
      </c>
      <c r="I841" s="22" t="s">
        <v>14</v>
      </c>
      <c r="J841" s="22">
        <v>4.0999999999999996</v>
      </c>
    </row>
    <row r="842" spans="1:10" x14ac:dyDescent="0.25">
      <c r="A842" s="22" t="s">
        <v>52</v>
      </c>
      <c r="B842" s="22" t="s">
        <v>898</v>
      </c>
      <c r="C842" s="22">
        <v>1293</v>
      </c>
      <c r="D842" s="22">
        <v>512</v>
      </c>
      <c r="E842" s="22">
        <v>48</v>
      </c>
      <c r="F842" s="22">
        <v>5500</v>
      </c>
      <c r="G842" s="22">
        <v>6.3</v>
      </c>
      <c r="H842" s="22" t="s">
        <v>21</v>
      </c>
      <c r="I842" s="22" t="s">
        <v>14</v>
      </c>
      <c r="J842" s="22">
        <v>4.8</v>
      </c>
    </row>
    <row r="843" spans="1:10" x14ac:dyDescent="0.25">
      <c r="A843" s="22" t="s">
        <v>24</v>
      </c>
      <c r="B843" s="22" t="s">
        <v>899</v>
      </c>
      <c r="C843" s="22">
        <v>1294</v>
      </c>
      <c r="D843" s="22">
        <v>256</v>
      </c>
      <c r="E843" s="22">
        <v>64</v>
      </c>
      <c r="F843" s="22">
        <v>4000</v>
      </c>
      <c r="G843" s="22">
        <v>5.5</v>
      </c>
      <c r="H843" s="22" t="s">
        <v>13</v>
      </c>
      <c r="I843" s="22" t="s">
        <v>14</v>
      </c>
      <c r="J843" s="22">
        <v>5</v>
      </c>
    </row>
    <row r="844" spans="1:10" x14ac:dyDescent="0.25">
      <c r="A844" s="22" t="s">
        <v>19</v>
      </c>
      <c r="B844" s="22" t="s">
        <v>900</v>
      </c>
      <c r="C844" s="22">
        <v>1295</v>
      </c>
      <c r="D844" s="22">
        <v>64</v>
      </c>
      <c r="E844" s="22">
        <v>50</v>
      </c>
      <c r="F844" s="22">
        <v>4500</v>
      </c>
      <c r="G844" s="22">
        <v>5.8</v>
      </c>
      <c r="H844" s="22" t="s">
        <v>21</v>
      </c>
      <c r="I844" s="22" t="s">
        <v>14</v>
      </c>
      <c r="J844" s="22">
        <v>4.5</v>
      </c>
    </row>
    <row r="845" spans="1:10" x14ac:dyDescent="0.25">
      <c r="A845" s="22" t="s">
        <v>11</v>
      </c>
      <c r="B845" s="22" t="s">
        <v>901</v>
      </c>
      <c r="C845" s="22">
        <v>1296</v>
      </c>
      <c r="D845" s="22">
        <v>512</v>
      </c>
      <c r="E845" s="22">
        <v>108</v>
      </c>
      <c r="F845" s="22">
        <v>4500</v>
      </c>
      <c r="G845" s="22">
        <v>6.7</v>
      </c>
      <c r="H845" s="22" t="s">
        <v>21</v>
      </c>
      <c r="I845" s="22" t="s">
        <v>14</v>
      </c>
      <c r="J845" s="22">
        <v>4.8</v>
      </c>
    </row>
    <row r="846" spans="1:10" x14ac:dyDescent="0.25">
      <c r="A846" s="22" t="s">
        <v>47</v>
      </c>
      <c r="B846" s="22" t="s">
        <v>902</v>
      </c>
      <c r="C846" s="22">
        <v>1298</v>
      </c>
      <c r="D846" s="22">
        <v>64</v>
      </c>
      <c r="E846" s="22">
        <v>48</v>
      </c>
      <c r="F846" s="22">
        <v>4500</v>
      </c>
      <c r="G846" s="22">
        <v>5.7</v>
      </c>
      <c r="H846" s="22" t="s">
        <v>13</v>
      </c>
      <c r="I846" s="22" t="s">
        <v>14</v>
      </c>
      <c r="J846" s="22">
        <v>3.5</v>
      </c>
    </row>
    <row r="847" spans="1:10" x14ac:dyDescent="0.25">
      <c r="A847" s="22" t="s">
        <v>16</v>
      </c>
      <c r="B847" s="22" t="s">
        <v>903</v>
      </c>
      <c r="C847" s="22">
        <v>1300</v>
      </c>
      <c r="D847" s="22">
        <v>512</v>
      </c>
      <c r="E847" s="22">
        <v>200</v>
      </c>
      <c r="F847" s="22">
        <v>4000</v>
      </c>
      <c r="G847" s="22">
        <v>5.7</v>
      </c>
      <c r="H847" s="22" t="s">
        <v>21</v>
      </c>
      <c r="I847" s="22" t="s">
        <v>14</v>
      </c>
      <c r="J847" s="22">
        <v>4.5999999999999996</v>
      </c>
    </row>
    <row r="848" spans="1:10" x14ac:dyDescent="0.25">
      <c r="A848" s="22" t="s">
        <v>52</v>
      </c>
      <c r="B848" s="22" t="s">
        <v>904</v>
      </c>
      <c r="C848" s="22">
        <v>1300</v>
      </c>
      <c r="D848" s="22">
        <v>256</v>
      </c>
      <c r="E848" s="22">
        <v>64</v>
      </c>
      <c r="F848" s="22">
        <v>4000</v>
      </c>
      <c r="G848" s="22">
        <v>6.9</v>
      </c>
      <c r="H848" s="22" t="s">
        <v>13</v>
      </c>
      <c r="I848" s="22" t="s">
        <v>14</v>
      </c>
      <c r="J848" s="22">
        <v>3.7</v>
      </c>
    </row>
    <row r="849" spans="1:10" x14ac:dyDescent="0.25">
      <c r="A849" s="22" t="s">
        <v>47</v>
      </c>
      <c r="B849" s="22" t="s">
        <v>905</v>
      </c>
      <c r="C849" s="22">
        <v>1300</v>
      </c>
      <c r="D849" s="22">
        <v>1024</v>
      </c>
      <c r="E849" s="22">
        <v>108</v>
      </c>
      <c r="F849" s="22">
        <v>4500</v>
      </c>
      <c r="G849" s="22">
        <v>6.6</v>
      </c>
      <c r="H849" s="22" t="s">
        <v>21</v>
      </c>
      <c r="I849" s="22" t="s">
        <v>14</v>
      </c>
      <c r="J849" s="22">
        <v>3.6</v>
      </c>
    </row>
    <row r="850" spans="1:10" x14ac:dyDescent="0.25">
      <c r="A850" s="22" t="s">
        <v>16</v>
      </c>
      <c r="B850" s="22" t="s">
        <v>906</v>
      </c>
      <c r="C850" s="22">
        <v>1301</v>
      </c>
      <c r="D850" s="22">
        <v>128</v>
      </c>
      <c r="E850" s="22">
        <v>200</v>
      </c>
      <c r="F850" s="22">
        <v>5500</v>
      </c>
      <c r="G850" s="22">
        <v>6.7</v>
      </c>
      <c r="H850" s="22" t="s">
        <v>13</v>
      </c>
      <c r="I850" s="22" t="s">
        <v>14</v>
      </c>
      <c r="J850" s="22">
        <v>4</v>
      </c>
    </row>
    <row r="851" spans="1:10" x14ac:dyDescent="0.25">
      <c r="A851" s="22" t="s">
        <v>58</v>
      </c>
      <c r="B851" s="22" t="s">
        <v>907</v>
      </c>
      <c r="C851" s="22">
        <v>1302</v>
      </c>
      <c r="D851" s="22">
        <v>512</v>
      </c>
      <c r="E851" s="22">
        <v>64</v>
      </c>
      <c r="F851" s="22">
        <v>5000</v>
      </c>
      <c r="G851" s="22">
        <v>7</v>
      </c>
      <c r="H851" s="22" t="s">
        <v>21</v>
      </c>
      <c r="I851" s="22" t="s">
        <v>60</v>
      </c>
      <c r="J851" s="22">
        <v>3.9</v>
      </c>
    </row>
    <row r="852" spans="1:10" x14ac:dyDescent="0.25">
      <c r="A852" s="22" t="s">
        <v>47</v>
      </c>
      <c r="B852" s="22" t="s">
        <v>908</v>
      </c>
      <c r="C852" s="22">
        <v>1302</v>
      </c>
      <c r="D852" s="22">
        <v>512</v>
      </c>
      <c r="E852" s="22">
        <v>200</v>
      </c>
      <c r="F852" s="22">
        <v>4000</v>
      </c>
      <c r="G852" s="22">
        <v>6.6</v>
      </c>
      <c r="H852" s="22" t="s">
        <v>21</v>
      </c>
      <c r="I852" s="22" t="s">
        <v>14</v>
      </c>
      <c r="J852" s="22">
        <v>4.5</v>
      </c>
    </row>
    <row r="853" spans="1:10" x14ac:dyDescent="0.25">
      <c r="A853" s="22" t="s">
        <v>47</v>
      </c>
      <c r="B853" s="22" t="s">
        <v>909</v>
      </c>
      <c r="C853" s="22">
        <v>1303</v>
      </c>
      <c r="D853" s="22">
        <v>512</v>
      </c>
      <c r="E853" s="22">
        <v>108</v>
      </c>
      <c r="F853" s="22">
        <v>5500</v>
      </c>
      <c r="G853" s="22">
        <v>6.6</v>
      </c>
      <c r="H853" s="22" t="s">
        <v>21</v>
      </c>
      <c r="I853" s="22" t="s">
        <v>14</v>
      </c>
      <c r="J853" s="22">
        <v>3.8</v>
      </c>
    </row>
    <row r="854" spans="1:10" x14ac:dyDescent="0.25">
      <c r="A854" s="22" t="s">
        <v>19</v>
      </c>
      <c r="B854" s="22" t="s">
        <v>910</v>
      </c>
      <c r="C854" s="22">
        <v>1309</v>
      </c>
      <c r="D854" s="22">
        <v>256</v>
      </c>
      <c r="E854" s="22">
        <v>50</v>
      </c>
      <c r="F854" s="22">
        <v>5000</v>
      </c>
      <c r="G854" s="22">
        <v>6.4</v>
      </c>
      <c r="H854" s="22" t="s">
        <v>21</v>
      </c>
      <c r="I854" s="22" t="s">
        <v>14</v>
      </c>
      <c r="J854" s="22">
        <v>4.2</v>
      </c>
    </row>
    <row r="855" spans="1:10" x14ac:dyDescent="0.25">
      <c r="A855" s="22" t="s">
        <v>33</v>
      </c>
      <c r="B855" s="22" t="s">
        <v>911</v>
      </c>
      <c r="C855" s="22">
        <v>1315</v>
      </c>
      <c r="D855" s="22">
        <v>256</v>
      </c>
      <c r="E855" s="22">
        <v>48</v>
      </c>
      <c r="F855" s="22">
        <v>4500</v>
      </c>
      <c r="G855" s="22">
        <v>5.6</v>
      </c>
      <c r="H855" s="22" t="s">
        <v>21</v>
      </c>
      <c r="I855" s="22" t="s">
        <v>14</v>
      </c>
      <c r="J855" s="22">
        <v>5</v>
      </c>
    </row>
    <row r="856" spans="1:10" x14ac:dyDescent="0.25">
      <c r="A856" s="22" t="s">
        <v>58</v>
      </c>
      <c r="B856" s="22" t="s">
        <v>912</v>
      </c>
      <c r="C856" s="22">
        <v>1316</v>
      </c>
      <c r="D856" s="22">
        <v>512</v>
      </c>
      <c r="E856" s="22">
        <v>12</v>
      </c>
      <c r="F856" s="22">
        <v>4000</v>
      </c>
      <c r="G856" s="22">
        <v>6.6</v>
      </c>
      <c r="H856" s="22" t="s">
        <v>21</v>
      </c>
      <c r="I856" s="22" t="s">
        <v>60</v>
      </c>
      <c r="J856" s="22">
        <v>4</v>
      </c>
    </row>
    <row r="857" spans="1:10" x14ac:dyDescent="0.25">
      <c r="A857" s="22" t="s">
        <v>47</v>
      </c>
      <c r="B857" s="22" t="s">
        <v>913</v>
      </c>
      <c r="C857" s="22">
        <v>1317</v>
      </c>
      <c r="D857" s="22">
        <v>512</v>
      </c>
      <c r="E857" s="22">
        <v>12</v>
      </c>
      <c r="F857" s="22">
        <v>4000</v>
      </c>
      <c r="G857" s="22">
        <v>6.5</v>
      </c>
      <c r="H857" s="22" t="s">
        <v>21</v>
      </c>
      <c r="I857" s="22" t="s">
        <v>14</v>
      </c>
      <c r="J857" s="22">
        <v>3.6</v>
      </c>
    </row>
    <row r="858" spans="1:10" x14ac:dyDescent="0.25">
      <c r="A858" s="22" t="s">
        <v>11</v>
      </c>
      <c r="B858" s="22" t="s">
        <v>914</v>
      </c>
      <c r="C858" s="22">
        <v>1317</v>
      </c>
      <c r="D858" s="22">
        <v>512</v>
      </c>
      <c r="E858" s="22">
        <v>50</v>
      </c>
      <c r="F858" s="22">
        <v>5500</v>
      </c>
      <c r="G858" s="22">
        <v>6.2</v>
      </c>
      <c r="H858" s="22" t="s">
        <v>21</v>
      </c>
      <c r="I858" s="22" t="s">
        <v>14</v>
      </c>
      <c r="J858" s="22">
        <v>4.7</v>
      </c>
    </row>
    <row r="859" spans="1:10" x14ac:dyDescent="0.25">
      <c r="A859" s="22" t="s">
        <v>52</v>
      </c>
      <c r="B859" s="22" t="s">
        <v>915</v>
      </c>
      <c r="C859" s="22">
        <v>1320</v>
      </c>
      <c r="D859" s="22">
        <v>64</v>
      </c>
      <c r="E859" s="22">
        <v>200</v>
      </c>
      <c r="F859" s="22">
        <v>4500</v>
      </c>
      <c r="G859" s="22">
        <v>6.4</v>
      </c>
      <c r="H859" s="22" t="s">
        <v>21</v>
      </c>
      <c r="I859" s="22" t="s">
        <v>14</v>
      </c>
      <c r="J859" s="22">
        <v>3.9</v>
      </c>
    </row>
    <row r="860" spans="1:10" x14ac:dyDescent="0.25">
      <c r="A860" s="22" t="s">
        <v>11</v>
      </c>
      <c r="B860" s="22" t="s">
        <v>916</v>
      </c>
      <c r="C860" s="22">
        <v>1320</v>
      </c>
      <c r="D860" s="22">
        <v>64</v>
      </c>
      <c r="E860" s="22">
        <v>50</v>
      </c>
      <c r="F860" s="22">
        <v>4000</v>
      </c>
      <c r="G860" s="22">
        <v>6.9</v>
      </c>
      <c r="H860" s="22" t="s">
        <v>21</v>
      </c>
      <c r="I860" s="22" t="s">
        <v>14</v>
      </c>
      <c r="J860" s="22">
        <v>3.7</v>
      </c>
    </row>
    <row r="861" spans="1:10" x14ac:dyDescent="0.25">
      <c r="A861" s="22" t="s">
        <v>52</v>
      </c>
      <c r="B861" s="22" t="s">
        <v>917</v>
      </c>
      <c r="C861" s="22">
        <v>1321</v>
      </c>
      <c r="D861" s="22">
        <v>256</v>
      </c>
      <c r="E861" s="22">
        <v>64</v>
      </c>
      <c r="F861" s="22">
        <v>4000</v>
      </c>
      <c r="G861" s="22">
        <v>7</v>
      </c>
      <c r="H861" s="22" t="s">
        <v>21</v>
      </c>
      <c r="I861" s="22" t="s">
        <v>14</v>
      </c>
      <c r="J861" s="22">
        <v>4.0999999999999996</v>
      </c>
    </row>
    <row r="862" spans="1:10" x14ac:dyDescent="0.25">
      <c r="A862" s="22" t="s">
        <v>16</v>
      </c>
      <c r="B862" s="22" t="s">
        <v>918</v>
      </c>
      <c r="C862" s="22">
        <v>1322</v>
      </c>
      <c r="D862" s="22">
        <v>256</v>
      </c>
      <c r="E862" s="22">
        <v>12</v>
      </c>
      <c r="F862" s="22">
        <v>6000</v>
      </c>
      <c r="G862" s="22">
        <v>5.8</v>
      </c>
      <c r="H862" s="22" t="s">
        <v>21</v>
      </c>
      <c r="I862" s="22" t="s">
        <v>14</v>
      </c>
      <c r="J862" s="22">
        <v>3.8</v>
      </c>
    </row>
    <row r="863" spans="1:10" x14ac:dyDescent="0.25">
      <c r="A863" s="22" t="s">
        <v>33</v>
      </c>
      <c r="B863" s="22" t="s">
        <v>919</v>
      </c>
      <c r="C863" s="22">
        <v>1325</v>
      </c>
      <c r="D863" s="22">
        <v>1024</v>
      </c>
      <c r="E863" s="22">
        <v>200</v>
      </c>
      <c r="F863" s="22">
        <v>5500</v>
      </c>
      <c r="G863" s="22">
        <v>6.9</v>
      </c>
      <c r="H863" s="22" t="s">
        <v>13</v>
      </c>
      <c r="I863" s="22" t="s">
        <v>14</v>
      </c>
      <c r="J863" s="22">
        <v>3.8</v>
      </c>
    </row>
    <row r="864" spans="1:10" x14ac:dyDescent="0.25">
      <c r="A864" s="22" t="s">
        <v>58</v>
      </c>
      <c r="B864" s="22" t="s">
        <v>920</v>
      </c>
      <c r="C864" s="22">
        <v>1326</v>
      </c>
      <c r="D864" s="22">
        <v>64</v>
      </c>
      <c r="E864" s="22">
        <v>12</v>
      </c>
      <c r="F864" s="22">
        <v>4000</v>
      </c>
      <c r="G864" s="22">
        <v>6</v>
      </c>
      <c r="H864" s="22" t="s">
        <v>13</v>
      </c>
      <c r="I864" s="22" t="s">
        <v>60</v>
      </c>
      <c r="J864" s="22">
        <v>3.9</v>
      </c>
    </row>
    <row r="865" spans="1:10" x14ac:dyDescent="0.25">
      <c r="A865" s="22" t="s">
        <v>33</v>
      </c>
      <c r="B865" s="22" t="s">
        <v>921</v>
      </c>
      <c r="C865" s="22">
        <v>1328</v>
      </c>
      <c r="D865" s="22">
        <v>256</v>
      </c>
      <c r="E865" s="22">
        <v>12</v>
      </c>
      <c r="F865" s="22">
        <v>6000</v>
      </c>
      <c r="G865" s="22">
        <v>5.7</v>
      </c>
      <c r="H865" s="22" t="s">
        <v>13</v>
      </c>
      <c r="I865" s="22" t="s">
        <v>14</v>
      </c>
      <c r="J865" s="22">
        <v>4.2</v>
      </c>
    </row>
    <row r="866" spans="1:10" x14ac:dyDescent="0.25">
      <c r="A866" s="22" t="s">
        <v>33</v>
      </c>
      <c r="B866" s="22" t="s">
        <v>922</v>
      </c>
      <c r="C866" s="22">
        <v>1331</v>
      </c>
      <c r="D866" s="22">
        <v>128</v>
      </c>
      <c r="E866" s="22">
        <v>48</v>
      </c>
      <c r="F866" s="22">
        <v>6000</v>
      </c>
      <c r="G866" s="22">
        <v>6.5</v>
      </c>
      <c r="H866" s="22" t="s">
        <v>21</v>
      </c>
      <c r="I866" s="22" t="s">
        <v>14</v>
      </c>
      <c r="J866" s="22">
        <v>3.7</v>
      </c>
    </row>
    <row r="867" spans="1:10" x14ac:dyDescent="0.25">
      <c r="A867" s="22" t="s">
        <v>19</v>
      </c>
      <c r="B867" s="22" t="s">
        <v>923</v>
      </c>
      <c r="C867" s="22">
        <v>1332</v>
      </c>
      <c r="D867" s="22">
        <v>1024</v>
      </c>
      <c r="E867" s="22">
        <v>108</v>
      </c>
      <c r="F867" s="22">
        <v>5500</v>
      </c>
      <c r="G867" s="22">
        <v>5.9</v>
      </c>
      <c r="H867" s="22" t="s">
        <v>21</v>
      </c>
      <c r="I867" s="22" t="s">
        <v>14</v>
      </c>
      <c r="J867" s="22">
        <v>4.0999999999999996</v>
      </c>
    </row>
    <row r="868" spans="1:10" x14ac:dyDescent="0.25">
      <c r="A868" s="22" t="s">
        <v>11</v>
      </c>
      <c r="B868" s="22" t="s">
        <v>924</v>
      </c>
      <c r="C868" s="22">
        <v>1332</v>
      </c>
      <c r="D868" s="22">
        <v>128</v>
      </c>
      <c r="E868" s="22">
        <v>48</v>
      </c>
      <c r="F868" s="22">
        <v>5500</v>
      </c>
      <c r="G868" s="22">
        <v>6.3</v>
      </c>
      <c r="H868" s="22" t="s">
        <v>13</v>
      </c>
      <c r="I868" s="22" t="s">
        <v>14</v>
      </c>
      <c r="J868" s="22">
        <v>4.9000000000000004</v>
      </c>
    </row>
    <row r="869" spans="1:10" x14ac:dyDescent="0.25">
      <c r="A869" s="22" t="s">
        <v>11</v>
      </c>
      <c r="B869" s="22" t="s">
        <v>925</v>
      </c>
      <c r="C869" s="22">
        <v>1334</v>
      </c>
      <c r="D869" s="22">
        <v>128</v>
      </c>
      <c r="E869" s="22">
        <v>108</v>
      </c>
      <c r="F869" s="22">
        <v>4000</v>
      </c>
      <c r="G869" s="22">
        <v>6</v>
      </c>
      <c r="H869" s="22" t="s">
        <v>21</v>
      </c>
      <c r="I869" s="22" t="s">
        <v>14</v>
      </c>
      <c r="J869" s="22">
        <v>3.7</v>
      </c>
    </row>
    <row r="870" spans="1:10" x14ac:dyDescent="0.25">
      <c r="A870" s="22" t="s">
        <v>19</v>
      </c>
      <c r="B870" s="22" t="s">
        <v>926</v>
      </c>
      <c r="C870" s="22">
        <v>1336</v>
      </c>
      <c r="D870" s="22">
        <v>256</v>
      </c>
      <c r="E870" s="22">
        <v>48</v>
      </c>
      <c r="F870" s="22">
        <v>6000</v>
      </c>
      <c r="G870" s="22">
        <v>6.6</v>
      </c>
      <c r="H870" s="22" t="s">
        <v>13</v>
      </c>
      <c r="I870" s="22" t="s">
        <v>14</v>
      </c>
      <c r="J870" s="22">
        <v>3.8</v>
      </c>
    </row>
    <row r="871" spans="1:10" x14ac:dyDescent="0.25">
      <c r="A871" s="22" t="s">
        <v>52</v>
      </c>
      <c r="B871" s="22" t="s">
        <v>927</v>
      </c>
      <c r="C871" s="22">
        <v>1337</v>
      </c>
      <c r="D871" s="22">
        <v>128</v>
      </c>
      <c r="E871" s="22">
        <v>200</v>
      </c>
      <c r="F871" s="22">
        <v>4000</v>
      </c>
      <c r="G871" s="22">
        <v>5.9</v>
      </c>
      <c r="H871" s="22" t="s">
        <v>21</v>
      </c>
      <c r="I871" s="22" t="s">
        <v>14</v>
      </c>
      <c r="J871" s="22">
        <v>3.5</v>
      </c>
    </row>
    <row r="872" spans="1:10" x14ac:dyDescent="0.25">
      <c r="A872" s="22" t="s">
        <v>91</v>
      </c>
      <c r="B872" s="22" t="s">
        <v>928</v>
      </c>
      <c r="C872" s="22">
        <v>1339</v>
      </c>
      <c r="D872" s="22">
        <v>512</v>
      </c>
      <c r="E872" s="22">
        <v>200</v>
      </c>
      <c r="F872" s="22">
        <v>4500</v>
      </c>
      <c r="G872" s="22">
        <v>6.2</v>
      </c>
      <c r="H872" s="22" t="s">
        <v>21</v>
      </c>
      <c r="I872" s="22" t="s">
        <v>14</v>
      </c>
      <c r="J872" s="22">
        <v>4.7</v>
      </c>
    </row>
    <row r="873" spans="1:10" x14ac:dyDescent="0.25">
      <c r="A873" s="22" t="s">
        <v>52</v>
      </c>
      <c r="B873" s="22" t="s">
        <v>929</v>
      </c>
      <c r="C873" s="22">
        <v>1340</v>
      </c>
      <c r="D873" s="22">
        <v>64</v>
      </c>
      <c r="E873" s="22">
        <v>200</v>
      </c>
      <c r="F873" s="22">
        <v>4500</v>
      </c>
      <c r="G873" s="22">
        <v>6</v>
      </c>
      <c r="H873" s="22" t="s">
        <v>13</v>
      </c>
      <c r="I873" s="22" t="s">
        <v>14</v>
      </c>
      <c r="J873" s="22">
        <v>4.0999999999999996</v>
      </c>
    </row>
    <row r="874" spans="1:10" x14ac:dyDescent="0.25">
      <c r="A874" s="22" t="s">
        <v>58</v>
      </c>
      <c r="B874" s="22" t="s">
        <v>930</v>
      </c>
      <c r="C874" s="22">
        <v>1342</v>
      </c>
      <c r="D874" s="22">
        <v>512</v>
      </c>
      <c r="E874" s="22">
        <v>64</v>
      </c>
      <c r="F874" s="22">
        <v>5500</v>
      </c>
      <c r="G874" s="22">
        <v>7.2</v>
      </c>
      <c r="H874" s="22" t="s">
        <v>13</v>
      </c>
      <c r="I874" s="22" t="s">
        <v>60</v>
      </c>
      <c r="J874" s="22">
        <v>4.4000000000000004</v>
      </c>
    </row>
    <row r="875" spans="1:10" x14ac:dyDescent="0.25">
      <c r="A875" s="22" t="s">
        <v>19</v>
      </c>
      <c r="B875" s="22" t="s">
        <v>931</v>
      </c>
      <c r="C875" s="22">
        <v>1343</v>
      </c>
      <c r="D875" s="22">
        <v>1024</v>
      </c>
      <c r="E875" s="22">
        <v>64</v>
      </c>
      <c r="F875" s="22">
        <v>5000</v>
      </c>
      <c r="G875" s="22">
        <v>5.5</v>
      </c>
      <c r="H875" s="22" t="s">
        <v>13</v>
      </c>
      <c r="I875" s="22" t="s">
        <v>14</v>
      </c>
      <c r="J875" s="22">
        <v>4.3</v>
      </c>
    </row>
    <row r="876" spans="1:10" x14ac:dyDescent="0.25">
      <c r="A876" s="22" t="s">
        <v>91</v>
      </c>
      <c r="B876" s="22" t="s">
        <v>713</v>
      </c>
      <c r="C876" s="22">
        <v>1343</v>
      </c>
      <c r="D876" s="22">
        <v>64</v>
      </c>
      <c r="E876" s="22">
        <v>50</v>
      </c>
      <c r="F876" s="22">
        <v>4500</v>
      </c>
      <c r="G876" s="22">
        <v>5.9</v>
      </c>
      <c r="H876" s="22" t="s">
        <v>21</v>
      </c>
      <c r="I876" s="22" t="s">
        <v>14</v>
      </c>
      <c r="J876" s="22">
        <v>4.3</v>
      </c>
    </row>
    <row r="877" spans="1:10" x14ac:dyDescent="0.25">
      <c r="A877" s="22" t="s">
        <v>33</v>
      </c>
      <c r="B877" s="22" t="s">
        <v>932</v>
      </c>
      <c r="C877" s="22">
        <v>1345</v>
      </c>
      <c r="D877" s="22">
        <v>512</v>
      </c>
      <c r="E877" s="22">
        <v>200</v>
      </c>
      <c r="F877" s="22">
        <v>4500</v>
      </c>
      <c r="G877" s="22">
        <v>6.7</v>
      </c>
      <c r="H877" s="22" t="s">
        <v>13</v>
      </c>
      <c r="I877" s="22" t="s">
        <v>14</v>
      </c>
      <c r="J877" s="22">
        <v>4.5999999999999996</v>
      </c>
    </row>
    <row r="878" spans="1:10" x14ac:dyDescent="0.25">
      <c r="A878" s="22" t="s">
        <v>16</v>
      </c>
      <c r="B878" s="22" t="s">
        <v>933</v>
      </c>
      <c r="C878" s="22">
        <v>1346</v>
      </c>
      <c r="D878" s="22">
        <v>128</v>
      </c>
      <c r="E878" s="22">
        <v>50</v>
      </c>
      <c r="F878" s="22">
        <v>5000</v>
      </c>
      <c r="G878" s="22">
        <v>7.2</v>
      </c>
      <c r="H878" s="22" t="s">
        <v>21</v>
      </c>
      <c r="I878" s="22" t="s">
        <v>14</v>
      </c>
      <c r="J878" s="22">
        <v>4.8</v>
      </c>
    </row>
    <row r="879" spans="1:10" x14ac:dyDescent="0.25">
      <c r="A879" s="22" t="s">
        <v>16</v>
      </c>
      <c r="B879" s="22" t="s">
        <v>934</v>
      </c>
      <c r="C879" s="22">
        <v>1348</v>
      </c>
      <c r="D879" s="22">
        <v>128</v>
      </c>
      <c r="E879" s="22">
        <v>12</v>
      </c>
      <c r="F879" s="22">
        <v>5500</v>
      </c>
      <c r="G879" s="22">
        <v>6.1</v>
      </c>
      <c r="H879" s="22" t="s">
        <v>21</v>
      </c>
      <c r="I879" s="22" t="s">
        <v>14</v>
      </c>
      <c r="J879" s="22">
        <v>3.5</v>
      </c>
    </row>
    <row r="880" spans="1:10" x14ac:dyDescent="0.25">
      <c r="A880" s="22" t="s">
        <v>19</v>
      </c>
      <c r="B880" s="22" t="s">
        <v>935</v>
      </c>
      <c r="C880" s="22">
        <v>1349</v>
      </c>
      <c r="D880" s="22">
        <v>512</v>
      </c>
      <c r="E880" s="22">
        <v>12</v>
      </c>
      <c r="F880" s="22">
        <v>4500</v>
      </c>
      <c r="G880" s="22">
        <v>6.2</v>
      </c>
      <c r="H880" s="22" t="s">
        <v>13</v>
      </c>
      <c r="I880" s="22" t="s">
        <v>14</v>
      </c>
      <c r="J880" s="22">
        <v>4.8</v>
      </c>
    </row>
    <row r="881" spans="1:10" x14ac:dyDescent="0.25">
      <c r="A881" s="22" t="s">
        <v>91</v>
      </c>
      <c r="B881" s="22" t="s">
        <v>468</v>
      </c>
      <c r="C881" s="22">
        <v>1349</v>
      </c>
      <c r="D881" s="22">
        <v>1024</v>
      </c>
      <c r="E881" s="22">
        <v>200</v>
      </c>
      <c r="F881" s="22">
        <v>5500</v>
      </c>
      <c r="G881" s="22">
        <v>5.9</v>
      </c>
      <c r="H881" s="22" t="s">
        <v>21</v>
      </c>
      <c r="I881" s="22" t="s">
        <v>14</v>
      </c>
      <c r="J881" s="22">
        <v>5</v>
      </c>
    </row>
    <row r="882" spans="1:10" x14ac:dyDescent="0.25">
      <c r="A882" s="22" t="s">
        <v>52</v>
      </c>
      <c r="B882" s="22" t="s">
        <v>936</v>
      </c>
      <c r="C882" s="22">
        <v>1350</v>
      </c>
      <c r="D882" s="22">
        <v>1024</v>
      </c>
      <c r="E882" s="22">
        <v>108</v>
      </c>
      <c r="F882" s="22">
        <v>5500</v>
      </c>
      <c r="G882" s="22">
        <v>6.3</v>
      </c>
      <c r="H882" s="22" t="s">
        <v>21</v>
      </c>
      <c r="I882" s="22" t="s">
        <v>14</v>
      </c>
      <c r="J882" s="22">
        <v>4.8</v>
      </c>
    </row>
    <row r="883" spans="1:10" x14ac:dyDescent="0.25">
      <c r="A883" s="22" t="s">
        <v>11</v>
      </c>
      <c r="B883" s="22" t="s">
        <v>937</v>
      </c>
      <c r="C883" s="22">
        <v>1351</v>
      </c>
      <c r="D883" s="22">
        <v>512</v>
      </c>
      <c r="E883" s="22">
        <v>200</v>
      </c>
      <c r="F883" s="22">
        <v>6000</v>
      </c>
      <c r="G883" s="22">
        <v>6.5</v>
      </c>
      <c r="H883" s="22" t="s">
        <v>21</v>
      </c>
      <c r="I883" s="22" t="s">
        <v>14</v>
      </c>
      <c r="J883" s="22">
        <v>4.5999999999999996</v>
      </c>
    </row>
    <row r="884" spans="1:10" x14ac:dyDescent="0.25">
      <c r="A884" s="22" t="s">
        <v>24</v>
      </c>
      <c r="B884" s="22" t="s">
        <v>938</v>
      </c>
      <c r="C884" s="22">
        <v>1354</v>
      </c>
      <c r="D884" s="22">
        <v>1024</v>
      </c>
      <c r="E884" s="22">
        <v>12</v>
      </c>
      <c r="F884" s="22">
        <v>5500</v>
      </c>
      <c r="G884" s="22">
        <v>5.7</v>
      </c>
      <c r="H884" s="22" t="s">
        <v>21</v>
      </c>
      <c r="I884" s="22" t="s">
        <v>14</v>
      </c>
      <c r="J884" s="22">
        <v>4</v>
      </c>
    </row>
    <row r="885" spans="1:10" x14ac:dyDescent="0.25">
      <c r="A885" s="22" t="s">
        <v>19</v>
      </c>
      <c r="B885" s="22" t="s">
        <v>939</v>
      </c>
      <c r="C885" s="22">
        <v>1356</v>
      </c>
      <c r="D885" s="22">
        <v>1024</v>
      </c>
      <c r="E885" s="22">
        <v>50</v>
      </c>
      <c r="F885" s="22">
        <v>5000</v>
      </c>
      <c r="G885" s="22">
        <v>6.6</v>
      </c>
      <c r="H885" s="22" t="s">
        <v>13</v>
      </c>
      <c r="I885" s="22" t="s">
        <v>14</v>
      </c>
      <c r="J885" s="22">
        <v>4.9000000000000004</v>
      </c>
    </row>
    <row r="886" spans="1:10" x14ac:dyDescent="0.25">
      <c r="A886" s="22" t="s">
        <v>47</v>
      </c>
      <c r="B886" s="22" t="s">
        <v>940</v>
      </c>
      <c r="C886" s="22">
        <v>1356</v>
      </c>
      <c r="D886" s="22">
        <v>256</v>
      </c>
      <c r="E886" s="22">
        <v>64</v>
      </c>
      <c r="F886" s="22">
        <v>6000</v>
      </c>
      <c r="G886" s="22">
        <v>7</v>
      </c>
      <c r="H886" s="22" t="s">
        <v>13</v>
      </c>
      <c r="I886" s="22" t="s">
        <v>14</v>
      </c>
      <c r="J886" s="22">
        <v>3.8</v>
      </c>
    </row>
    <row r="887" spans="1:10" x14ac:dyDescent="0.25">
      <c r="A887" s="22" t="s">
        <v>19</v>
      </c>
      <c r="B887" s="22" t="s">
        <v>941</v>
      </c>
      <c r="C887" s="22">
        <v>1357</v>
      </c>
      <c r="D887" s="22">
        <v>128</v>
      </c>
      <c r="E887" s="22">
        <v>12</v>
      </c>
      <c r="F887" s="22">
        <v>6000</v>
      </c>
      <c r="G887" s="22">
        <v>6</v>
      </c>
      <c r="H887" s="22" t="s">
        <v>13</v>
      </c>
      <c r="I887" s="22" t="s">
        <v>14</v>
      </c>
      <c r="J887" s="22">
        <v>4.8</v>
      </c>
    </row>
    <row r="888" spans="1:10" x14ac:dyDescent="0.25">
      <c r="A888" s="22" t="s">
        <v>52</v>
      </c>
      <c r="B888" s="22" t="s">
        <v>942</v>
      </c>
      <c r="C888" s="22">
        <v>1357</v>
      </c>
      <c r="D888" s="22">
        <v>128</v>
      </c>
      <c r="E888" s="22">
        <v>50</v>
      </c>
      <c r="F888" s="22">
        <v>5000</v>
      </c>
      <c r="G888" s="22">
        <v>6.7</v>
      </c>
      <c r="H888" s="22" t="s">
        <v>13</v>
      </c>
      <c r="I888" s="22" t="s">
        <v>14</v>
      </c>
      <c r="J888" s="22">
        <v>4.2</v>
      </c>
    </row>
    <row r="889" spans="1:10" x14ac:dyDescent="0.25">
      <c r="A889" s="22" t="s">
        <v>91</v>
      </c>
      <c r="B889" s="22" t="s">
        <v>943</v>
      </c>
      <c r="C889" s="22">
        <v>1360</v>
      </c>
      <c r="D889" s="22">
        <v>1024</v>
      </c>
      <c r="E889" s="22">
        <v>48</v>
      </c>
      <c r="F889" s="22">
        <v>5500</v>
      </c>
      <c r="G889" s="22">
        <v>6</v>
      </c>
      <c r="H889" s="22" t="s">
        <v>21</v>
      </c>
      <c r="I889" s="22" t="s">
        <v>14</v>
      </c>
      <c r="J889" s="22">
        <v>4.4000000000000004</v>
      </c>
    </row>
    <row r="890" spans="1:10" x14ac:dyDescent="0.25">
      <c r="A890" s="22" t="s">
        <v>19</v>
      </c>
      <c r="B890" s="22" t="s">
        <v>944</v>
      </c>
      <c r="C890" s="22">
        <v>1363</v>
      </c>
      <c r="D890" s="22">
        <v>1024</v>
      </c>
      <c r="E890" s="22">
        <v>50</v>
      </c>
      <c r="F890" s="22">
        <v>4000</v>
      </c>
      <c r="G890" s="22">
        <v>6.7</v>
      </c>
      <c r="H890" s="22" t="s">
        <v>13</v>
      </c>
      <c r="I890" s="22" t="s">
        <v>14</v>
      </c>
      <c r="J890" s="22">
        <v>4.8</v>
      </c>
    </row>
    <row r="891" spans="1:10" x14ac:dyDescent="0.25">
      <c r="A891" s="22" t="s">
        <v>47</v>
      </c>
      <c r="B891" s="22" t="s">
        <v>945</v>
      </c>
      <c r="C891" s="22">
        <v>1365</v>
      </c>
      <c r="D891" s="22">
        <v>128</v>
      </c>
      <c r="E891" s="22">
        <v>50</v>
      </c>
      <c r="F891" s="22">
        <v>5500</v>
      </c>
      <c r="G891" s="22">
        <v>6.7</v>
      </c>
      <c r="H891" s="22" t="s">
        <v>13</v>
      </c>
      <c r="I891" s="22" t="s">
        <v>14</v>
      </c>
      <c r="J891" s="22">
        <v>3.6</v>
      </c>
    </row>
    <row r="892" spans="1:10" x14ac:dyDescent="0.25">
      <c r="A892" s="22" t="s">
        <v>24</v>
      </c>
      <c r="B892" s="22" t="s">
        <v>946</v>
      </c>
      <c r="C892" s="22">
        <v>1367</v>
      </c>
      <c r="D892" s="22">
        <v>64</v>
      </c>
      <c r="E892" s="22">
        <v>12</v>
      </c>
      <c r="F892" s="22">
        <v>4000</v>
      </c>
      <c r="G892" s="22">
        <v>5.9</v>
      </c>
      <c r="H892" s="22" t="s">
        <v>13</v>
      </c>
      <c r="I892" s="22" t="s">
        <v>14</v>
      </c>
      <c r="J892" s="22">
        <v>4.0999999999999996</v>
      </c>
    </row>
    <row r="893" spans="1:10" x14ac:dyDescent="0.25">
      <c r="A893" s="22" t="s">
        <v>91</v>
      </c>
      <c r="B893" s="22" t="s">
        <v>947</v>
      </c>
      <c r="C893" s="22">
        <v>1368</v>
      </c>
      <c r="D893" s="22">
        <v>64</v>
      </c>
      <c r="E893" s="22">
        <v>50</v>
      </c>
      <c r="F893" s="22">
        <v>5500</v>
      </c>
      <c r="G893" s="22">
        <v>5.6</v>
      </c>
      <c r="H893" s="22" t="s">
        <v>13</v>
      </c>
      <c r="I893" s="22" t="s">
        <v>14</v>
      </c>
      <c r="J893" s="22">
        <v>4.9000000000000004</v>
      </c>
    </row>
    <row r="894" spans="1:10" x14ac:dyDescent="0.25">
      <c r="A894" s="22" t="s">
        <v>24</v>
      </c>
      <c r="B894" s="22" t="s">
        <v>948</v>
      </c>
      <c r="C894" s="22">
        <v>1369</v>
      </c>
      <c r="D894" s="22">
        <v>512</v>
      </c>
      <c r="E894" s="22">
        <v>48</v>
      </c>
      <c r="F894" s="22">
        <v>4000</v>
      </c>
      <c r="G894" s="22">
        <v>5.6</v>
      </c>
      <c r="H894" s="22" t="s">
        <v>21</v>
      </c>
      <c r="I894" s="22" t="s">
        <v>14</v>
      </c>
      <c r="J894" s="22">
        <v>3.7</v>
      </c>
    </row>
    <row r="895" spans="1:10" x14ac:dyDescent="0.25">
      <c r="A895" s="22" t="s">
        <v>58</v>
      </c>
      <c r="B895" s="22" t="s">
        <v>949</v>
      </c>
      <c r="C895" s="22">
        <v>1369</v>
      </c>
      <c r="D895" s="22">
        <v>128</v>
      </c>
      <c r="E895" s="22">
        <v>64</v>
      </c>
      <c r="F895" s="22">
        <v>6000</v>
      </c>
      <c r="G895" s="22">
        <v>6.5</v>
      </c>
      <c r="H895" s="22" t="s">
        <v>13</v>
      </c>
      <c r="I895" s="22" t="s">
        <v>60</v>
      </c>
      <c r="J895" s="22">
        <v>4.5999999999999996</v>
      </c>
    </row>
    <row r="896" spans="1:10" x14ac:dyDescent="0.25">
      <c r="A896" s="22" t="s">
        <v>58</v>
      </c>
      <c r="B896" s="22" t="s">
        <v>950</v>
      </c>
      <c r="C896" s="22">
        <v>1371</v>
      </c>
      <c r="D896" s="22">
        <v>128</v>
      </c>
      <c r="E896" s="22">
        <v>64</v>
      </c>
      <c r="F896" s="22">
        <v>4500</v>
      </c>
      <c r="G896" s="22">
        <v>7</v>
      </c>
      <c r="H896" s="22" t="s">
        <v>13</v>
      </c>
      <c r="I896" s="22" t="s">
        <v>60</v>
      </c>
      <c r="J896" s="22">
        <v>4.0999999999999996</v>
      </c>
    </row>
    <row r="897" spans="1:10" x14ac:dyDescent="0.25">
      <c r="A897" s="22" t="s">
        <v>33</v>
      </c>
      <c r="B897" s="22" t="s">
        <v>951</v>
      </c>
      <c r="C897" s="22">
        <v>1373</v>
      </c>
      <c r="D897" s="22">
        <v>256</v>
      </c>
      <c r="E897" s="22">
        <v>48</v>
      </c>
      <c r="F897" s="22">
        <v>6000</v>
      </c>
      <c r="G897" s="22">
        <v>7</v>
      </c>
      <c r="H897" s="22" t="s">
        <v>21</v>
      </c>
      <c r="I897" s="22" t="s">
        <v>14</v>
      </c>
      <c r="J897" s="22">
        <v>3.6</v>
      </c>
    </row>
    <row r="898" spans="1:10" x14ac:dyDescent="0.25">
      <c r="A898" s="22" t="s">
        <v>52</v>
      </c>
      <c r="B898" s="22" t="s">
        <v>952</v>
      </c>
      <c r="C898" s="22">
        <v>1373</v>
      </c>
      <c r="D898" s="22">
        <v>256</v>
      </c>
      <c r="E898" s="22">
        <v>108</v>
      </c>
      <c r="F898" s="22">
        <v>4000</v>
      </c>
      <c r="G898" s="22">
        <v>5.6</v>
      </c>
      <c r="H898" s="22" t="s">
        <v>13</v>
      </c>
      <c r="I898" s="22" t="s">
        <v>14</v>
      </c>
      <c r="J898" s="22">
        <v>5</v>
      </c>
    </row>
    <row r="899" spans="1:10" x14ac:dyDescent="0.25">
      <c r="A899" s="22" t="s">
        <v>19</v>
      </c>
      <c r="B899" s="22" t="s">
        <v>953</v>
      </c>
      <c r="C899" s="22">
        <v>1374</v>
      </c>
      <c r="D899" s="22">
        <v>1024</v>
      </c>
      <c r="E899" s="22">
        <v>108</v>
      </c>
      <c r="F899" s="22">
        <v>5000</v>
      </c>
      <c r="G899" s="22">
        <v>5.9</v>
      </c>
      <c r="H899" s="22" t="s">
        <v>21</v>
      </c>
      <c r="I899" s="22" t="s">
        <v>14</v>
      </c>
      <c r="J899" s="22">
        <v>3.6</v>
      </c>
    </row>
    <row r="900" spans="1:10" x14ac:dyDescent="0.25">
      <c r="A900" s="22" t="s">
        <v>52</v>
      </c>
      <c r="B900" s="22" t="s">
        <v>954</v>
      </c>
      <c r="C900" s="22">
        <v>1375</v>
      </c>
      <c r="D900" s="22">
        <v>1024</v>
      </c>
      <c r="E900" s="22">
        <v>200</v>
      </c>
      <c r="F900" s="22">
        <v>6000</v>
      </c>
      <c r="G900" s="22">
        <v>5.8</v>
      </c>
      <c r="H900" s="22" t="s">
        <v>13</v>
      </c>
      <c r="I900" s="22" t="s">
        <v>14</v>
      </c>
      <c r="J900" s="22">
        <v>3.8</v>
      </c>
    </row>
    <row r="901" spans="1:10" x14ac:dyDescent="0.25">
      <c r="A901" s="22" t="s">
        <v>47</v>
      </c>
      <c r="B901" s="22" t="s">
        <v>955</v>
      </c>
      <c r="C901" s="22">
        <v>1375</v>
      </c>
      <c r="D901" s="22">
        <v>256</v>
      </c>
      <c r="E901" s="22">
        <v>200</v>
      </c>
      <c r="F901" s="22">
        <v>6000</v>
      </c>
      <c r="G901" s="22">
        <v>7</v>
      </c>
      <c r="H901" s="22" t="s">
        <v>13</v>
      </c>
      <c r="I901" s="22" t="s">
        <v>14</v>
      </c>
      <c r="J901" s="22">
        <v>4.5999999999999996</v>
      </c>
    </row>
    <row r="902" spans="1:10" x14ac:dyDescent="0.25">
      <c r="A902" s="22" t="s">
        <v>11</v>
      </c>
      <c r="B902" s="22" t="s">
        <v>956</v>
      </c>
      <c r="C902" s="22">
        <v>1379</v>
      </c>
      <c r="D902" s="22">
        <v>512</v>
      </c>
      <c r="E902" s="22">
        <v>48</v>
      </c>
      <c r="F902" s="22">
        <v>5500</v>
      </c>
      <c r="G902" s="22">
        <v>7</v>
      </c>
      <c r="H902" s="22" t="s">
        <v>21</v>
      </c>
      <c r="I902" s="22" t="s">
        <v>14</v>
      </c>
      <c r="J902" s="22">
        <v>3.7</v>
      </c>
    </row>
    <row r="903" spans="1:10" x14ac:dyDescent="0.25">
      <c r="A903" s="22" t="s">
        <v>91</v>
      </c>
      <c r="B903" s="22" t="s">
        <v>957</v>
      </c>
      <c r="C903" s="22">
        <v>1381</v>
      </c>
      <c r="D903" s="22">
        <v>64</v>
      </c>
      <c r="E903" s="22">
        <v>48</v>
      </c>
      <c r="F903" s="22">
        <v>5500</v>
      </c>
      <c r="G903" s="22">
        <v>5.6</v>
      </c>
      <c r="H903" s="22" t="s">
        <v>13</v>
      </c>
      <c r="I903" s="22" t="s">
        <v>14</v>
      </c>
      <c r="J903" s="22">
        <v>3.8</v>
      </c>
    </row>
    <row r="904" spans="1:10" x14ac:dyDescent="0.25">
      <c r="A904" s="22" t="s">
        <v>19</v>
      </c>
      <c r="B904" s="22" t="s">
        <v>958</v>
      </c>
      <c r="C904" s="22">
        <v>1381</v>
      </c>
      <c r="D904" s="22">
        <v>256</v>
      </c>
      <c r="E904" s="22">
        <v>200</v>
      </c>
      <c r="F904" s="22">
        <v>5500</v>
      </c>
      <c r="G904" s="22">
        <v>5.6</v>
      </c>
      <c r="H904" s="22" t="s">
        <v>13</v>
      </c>
      <c r="I904" s="22" t="s">
        <v>14</v>
      </c>
      <c r="J904" s="22">
        <v>5</v>
      </c>
    </row>
    <row r="905" spans="1:10" x14ac:dyDescent="0.25">
      <c r="A905" s="22" t="s">
        <v>24</v>
      </c>
      <c r="B905" s="22" t="s">
        <v>959</v>
      </c>
      <c r="C905" s="22">
        <v>1384</v>
      </c>
      <c r="D905" s="22">
        <v>1024</v>
      </c>
      <c r="E905" s="22">
        <v>200</v>
      </c>
      <c r="F905" s="22">
        <v>5500</v>
      </c>
      <c r="G905" s="22">
        <v>7</v>
      </c>
      <c r="H905" s="22" t="s">
        <v>13</v>
      </c>
      <c r="I905" s="22" t="s">
        <v>14</v>
      </c>
      <c r="J905" s="22">
        <v>4.9000000000000004</v>
      </c>
    </row>
    <row r="906" spans="1:10" x14ac:dyDescent="0.25">
      <c r="A906" s="22" t="s">
        <v>33</v>
      </c>
      <c r="B906" s="22" t="s">
        <v>960</v>
      </c>
      <c r="C906" s="22">
        <v>1384</v>
      </c>
      <c r="D906" s="22">
        <v>256</v>
      </c>
      <c r="E906" s="22">
        <v>200</v>
      </c>
      <c r="F906" s="22">
        <v>4500</v>
      </c>
      <c r="G906" s="22">
        <v>7</v>
      </c>
      <c r="H906" s="22" t="s">
        <v>13</v>
      </c>
      <c r="I906" s="22" t="s">
        <v>14</v>
      </c>
      <c r="J906" s="22">
        <v>3.8</v>
      </c>
    </row>
    <row r="907" spans="1:10" x14ac:dyDescent="0.25">
      <c r="A907" s="22" t="s">
        <v>11</v>
      </c>
      <c r="B907" s="22" t="s">
        <v>961</v>
      </c>
      <c r="C907" s="22">
        <v>1385</v>
      </c>
      <c r="D907" s="22">
        <v>64</v>
      </c>
      <c r="E907" s="22">
        <v>64</v>
      </c>
      <c r="F907" s="22">
        <v>5000</v>
      </c>
      <c r="G907" s="22">
        <v>6.8</v>
      </c>
      <c r="H907" s="22" t="s">
        <v>21</v>
      </c>
      <c r="I907" s="22" t="s">
        <v>14</v>
      </c>
      <c r="J907" s="22">
        <v>4.9000000000000004</v>
      </c>
    </row>
    <row r="908" spans="1:10" x14ac:dyDescent="0.25">
      <c r="A908" s="22" t="s">
        <v>11</v>
      </c>
      <c r="B908" s="22" t="s">
        <v>347</v>
      </c>
      <c r="C908" s="22">
        <v>1386</v>
      </c>
      <c r="D908" s="22">
        <v>64</v>
      </c>
      <c r="E908" s="22">
        <v>12</v>
      </c>
      <c r="F908" s="22">
        <v>6000</v>
      </c>
      <c r="G908" s="22">
        <v>6.4</v>
      </c>
      <c r="H908" s="22" t="s">
        <v>21</v>
      </c>
      <c r="I908" s="22" t="s">
        <v>14</v>
      </c>
      <c r="J908" s="22">
        <v>3.9</v>
      </c>
    </row>
    <row r="909" spans="1:10" x14ac:dyDescent="0.25">
      <c r="A909" s="22" t="s">
        <v>47</v>
      </c>
      <c r="B909" s="22" t="s">
        <v>962</v>
      </c>
      <c r="C909" s="22">
        <v>1386</v>
      </c>
      <c r="D909" s="22">
        <v>1024</v>
      </c>
      <c r="E909" s="22">
        <v>108</v>
      </c>
      <c r="F909" s="22">
        <v>6000</v>
      </c>
      <c r="G909" s="22">
        <v>7.1</v>
      </c>
      <c r="H909" s="22" t="s">
        <v>21</v>
      </c>
      <c r="I909" s="22" t="s">
        <v>14</v>
      </c>
      <c r="J909" s="22">
        <v>4.8</v>
      </c>
    </row>
    <row r="910" spans="1:10" x14ac:dyDescent="0.25">
      <c r="A910" s="22" t="s">
        <v>58</v>
      </c>
      <c r="B910" s="22" t="s">
        <v>963</v>
      </c>
      <c r="C910" s="22">
        <v>1386</v>
      </c>
      <c r="D910" s="22">
        <v>256</v>
      </c>
      <c r="E910" s="22">
        <v>200</v>
      </c>
      <c r="F910" s="22">
        <v>4000</v>
      </c>
      <c r="G910" s="22">
        <v>5.6</v>
      </c>
      <c r="H910" s="22" t="s">
        <v>21</v>
      </c>
      <c r="I910" s="22" t="s">
        <v>60</v>
      </c>
      <c r="J910" s="22">
        <v>3.9</v>
      </c>
    </row>
    <row r="911" spans="1:10" x14ac:dyDescent="0.25">
      <c r="A911" s="22" t="s">
        <v>33</v>
      </c>
      <c r="B911" s="22" t="s">
        <v>964</v>
      </c>
      <c r="C911" s="22">
        <v>1387</v>
      </c>
      <c r="D911" s="22">
        <v>1024</v>
      </c>
      <c r="E911" s="22">
        <v>108</v>
      </c>
      <c r="F911" s="22">
        <v>4000</v>
      </c>
      <c r="G911" s="22">
        <v>6.5</v>
      </c>
      <c r="H911" s="22" t="s">
        <v>13</v>
      </c>
      <c r="I911" s="22" t="s">
        <v>14</v>
      </c>
      <c r="J911" s="22">
        <v>4.9000000000000004</v>
      </c>
    </row>
    <row r="912" spans="1:10" x14ac:dyDescent="0.25">
      <c r="A912" s="22" t="s">
        <v>16</v>
      </c>
      <c r="B912" s="22" t="s">
        <v>965</v>
      </c>
      <c r="C912" s="22">
        <v>1391</v>
      </c>
      <c r="D912" s="22">
        <v>256</v>
      </c>
      <c r="E912" s="22">
        <v>50</v>
      </c>
      <c r="F912" s="22">
        <v>5500</v>
      </c>
      <c r="G912" s="22">
        <v>6.9</v>
      </c>
      <c r="H912" s="22" t="s">
        <v>13</v>
      </c>
      <c r="I912" s="22" t="s">
        <v>14</v>
      </c>
      <c r="J912" s="22">
        <v>4.8</v>
      </c>
    </row>
    <row r="913" spans="1:10" x14ac:dyDescent="0.25">
      <c r="A913" s="22" t="s">
        <v>52</v>
      </c>
      <c r="B913" s="22" t="s">
        <v>966</v>
      </c>
      <c r="C913" s="22">
        <v>1392</v>
      </c>
      <c r="D913" s="22">
        <v>128</v>
      </c>
      <c r="E913" s="22">
        <v>108</v>
      </c>
      <c r="F913" s="22">
        <v>4500</v>
      </c>
      <c r="G913" s="22">
        <v>7.1</v>
      </c>
      <c r="H913" s="22" t="s">
        <v>21</v>
      </c>
      <c r="I913" s="22" t="s">
        <v>14</v>
      </c>
      <c r="J913" s="22">
        <v>3.8</v>
      </c>
    </row>
    <row r="914" spans="1:10" x14ac:dyDescent="0.25">
      <c r="A914" s="22" t="s">
        <v>24</v>
      </c>
      <c r="B914" s="22" t="s">
        <v>967</v>
      </c>
      <c r="C914" s="22">
        <v>1394</v>
      </c>
      <c r="D914" s="22">
        <v>1024</v>
      </c>
      <c r="E914" s="22">
        <v>12</v>
      </c>
      <c r="F914" s="22">
        <v>4500</v>
      </c>
      <c r="G914" s="22">
        <v>6.9</v>
      </c>
      <c r="H914" s="22" t="s">
        <v>13</v>
      </c>
      <c r="I914" s="22" t="s">
        <v>14</v>
      </c>
      <c r="J914" s="22">
        <v>4.5</v>
      </c>
    </row>
    <row r="915" spans="1:10" x14ac:dyDescent="0.25">
      <c r="A915" s="22" t="s">
        <v>52</v>
      </c>
      <c r="B915" s="22" t="s">
        <v>968</v>
      </c>
      <c r="C915" s="22">
        <v>1397</v>
      </c>
      <c r="D915" s="22">
        <v>64</v>
      </c>
      <c r="E915" s="22">
        <v>48</v>
      </c>
      <c r="F915" s="22">
        <v>4000</v>
      </c>
      <c r="G915" s="22">
        <v>5.6</v>
      </c>
      <c r="H915" s="22" t="s">
        <v>21</v>
      </c>
      <c r="I915" s="22" t="s">
        <v>14</v>
      </c>
      <c r="J915" s="22">
        <v>4.8</v>
      </c>
    </row>
    <row r="916" spans="1:10" x14ac:dyDescent="0.25">
      <c r="A916" s="22" t="s">
        <v>33</v>
      </c>
      <c r="B916" s="22" t="s">
        <v>969</v>
      </c>
      <c r="C916" s="22">
        <v>1397</v>
      </c>
      <c r="D916" s="22">
        <v>128</v>
      </c>
      <c r="E916" s="22">
        <v>48</v>
      </c>
      <c r="F916" s="22">
        <v>6000</v>
      </c>
      <c r="G916" s="22">
        <v>5.8</v>
      </c>
      <c r="H916" s="22" t="s">
        <v>21</v>
      </c>
      <c r="I916" s="22" t="s">
        <v>14</v>
      </c>
      <c r="J916" s="22">
        <v>3.7</v>
      </c>
    </row>
    <row r="917" spans="1:10" x14ac:dyDescent="0.25">
      <c r="A917" s="22" t="s">
        <v>47</v>
      </c>
      <c r="B917" s="22" t="s">
        <v>970</v>
      </c>
      <c r="C917" s="22">
        <v>1398</v>
      </c>
      <c r="D917" s="22">
        <v>64</v>
      </c>
      <c r="E917" s="22">
        <v>50</v>
      </c>
      <c r="F917" s="22">
        <v>5500</v>
      </c>
      <c r="G917" s="22">
        <v>5.8</v>
      </c>
      <c r="H917" s="22" t="s">
        <v>21</v>
      </c>
      <c r="I917" s="22" t="s">
        <v>14</v>
      </c>
      <c r="J917" s="22">
        <v>3.6</v>
      </c>
    </row>
    <row r="918" spans="1:10" x14ac:dyDescent="0.25">
      <c r="A918" s="22" t="s">
        <v>16</v>
      </c>
      <c r="B918" s="22" t="s">
        <v>971</v>
      </c>
      <c r="C918" s="22">
        <v>1399</v>
      </c>
      <c r="D918" s="22">
        <v>1024</v>
      </c>
      <c r="E918" s="22">
        <v>48</v>
      </c>
      <c r="F918" s="22">
        <v>4500</v>
      </c>
      <c r="G918" s="22">
        <v>6.9</v>
      </c>
      <c r="H918" s="22" t="s">
        <v>21</v>
      </c>
      <c r="I918" s="22" t="s">
        <v>14</v>
      </c>
      <c r="J918" s="22">
        <v>5</v>
      </c>
    </row>
    <row r="919" spans="1:10" x14ac:dyDescent="0.25">
      <c r="A919" s="22" t="s">
        <v>33</v>
      </c>
      <c r="B919" s="22" t="s">
        <v>972</v>
      </c>
      <c r="C919" s="22">
        <v>1399</v>
      </c>
      <c r="D919" s="22">
        <v>1024</v>
      </c>
      <c r="E919" s="22">
        <v>48</v>
      </c>
      <c r="F919" s="22">
        <v>6000</v>
      </c>
      <c r="G919" s="22">
        <v>6.7</v>
      </c>
      <c r="H919" s="22" t="s">
        <v>21</v>
      </c>
      <c r="I919" s="22" t="s">
        <v>14</v>
      </c>
      <c r="J919" s="22">
        <v>4.9000000000000004</v>
      </c>
    </row>
    <row r="920" spans="1:10" x14ac:dyDescent="0.25">
      <c r="A920" s="22" t="s">
        <v>19</v>
      </c>
      <c r="B920" s="22" t="s">
        <v>973</v>
      </c>
      <c r="C920" s="22">
        <v>1399</v>
      </c>
      <c r="D920" s="22">
        <v>128</v>
      </c>
      <c r="E920" s="22">
        <v>50</v>
      </c>
      <c r="F920" s="22">
        <v>4500</v>
      </c>
      <c r="G920" s="22">
        <v>5.9</v>
      </c>
      <c r="H920" s="22" t="s">
        <v>21</v>
      </c>
      <c r="I920" s="22" t="s">
        <v>14</v>
      </c>
      <c r="J920" s="22">
        <v>4.9000000000000004</v>
      </c>
    </row>
    <row r="921" spans="1:10" x14ac:dyDescent="0.25">
      <c r="A921" s="22" t="s">
        <v>91</v>
      </c>
      <c r="B921" s="22" t="s">
        <v>974</v>
      </c>
      <c r="C921" s="22">
        <v>1400</v>
      </c>
      <c r="D921" s="22">
        <v>64</v>
      </c>
      <c r="E921" s="22">
        <v>64</v>
      </c>
      <c r="F921" s="22">
        <v>6000</v>
      </c>
      <c r="G921" s="22">
        <v>6</v>
      </c>
      <c r="H921" s="22" t="s">
        <v>13</v>
      </c>
      <c r="I921" s="22" t="s">
        <v>14</v>
      </c>
      <c r="J921" s="22">
        <v>3.7</v>
      </c>
    </row>
    <row r="922" spans="1:10" x14ac:dyDescent="0.25">
      <c r="A922" s="22" t="s">
        <v>91</v>
      </c>
      <c r="B922" s="22" t="s">
        <v>975</v>
      </c>
      <c r="C922" s="22">
        <v>1403</v>
      </c>
      <c r="D922" s="22">
        <v>256</v>
      </c>
      <c r="E922" s="22">
        <v>64</v>
      </c>
      <c r="F922" s="22">
        <v>4500</v>
      </c>
      <c r="G922" s="22">
        <v>5.8</v>
      </c>
      <c r="H922" s="22" t="s">
        <v>13</v>
      </c>
      <c r="I922" s="22" t="s">
        <v>14</v>
      </c>
      <c r="J922" s="22">
        <v>4.4000000000000004</v>
      </c>
    </row>
    <row r="923" spans="1:10" x14ac:dyDescent="0.25">
      <c r="A923" s="22" t="s">
        <v>33</v>
      </c>
      <c r="B923" s="22" t="s">
        <v>976</v>
      </c>
      <c r="C923" s="22">
        <v>1403</v>
      </c>
      <c r="D923" s="22">
        <v>1024</v>
      </c>
      <c r="E923" s="22">
        <v>200</v>
      </c>
      <c r="F923" s="22">
        <v>4000</v>
      </c>
      <c r="G923" s="22">
        <v>7.1</v>
      </c>
      <c r="H923" s="22" t="s">
        <v>13</v>
      </c>
      <c r="I923" s="22" t="s">
        <v>14</v>
      </c>
      <c r="J923" s="22">
        <v>4.8</v>
      </c>
    </row>
    <row r="924" spans="1:10" x14ac:dyDescent="0.25">
      <c r="A924" s="22" t="s">
        <v>58</v>
      </c>
      <c r="B924" s="22" t="s">
        <v>977</v>
      </c>
      <c r="C924" s="22">
        <v>1403</v>
      </c>
      <c r="D924" s="22">
        <v>256</v>
      </c>
      <c r="E924" s="22">
        <v>12</v>
      </c>
      <c r="F924" s="22">
        <v>4500</v>
      </c>
      <c r="G924" s="22">
        <v>6.1</v>
      </c>
      <c r="H924" s="22" t="s">
        <v>21</v>
      </c>
      <c r="I924" s="22" t="s">
        <v>60</v>
      </c>
      <c r="J924" s="22">
        <v>3.7</v>
      </c>
    </row>
    <row r="925" spans="1:10" x14ac:dyDescent="0.25">
      <c r="A925" s="22" t="s">
        <v>11</v>
      </c>
      <c r="B925" s="22" t="s">
        <v>978</v>
      </c>
      <c r="C925" s="22">
        <v>1404</v>
      </c>
      <c r="D925" s="22">
        <v>1024</v>
      </c>
      <c r="E925" s="22">
        <v>50</v>
      </c>
      <c r="F925" s="22">
        <v>4000</v>
      </c>
      <c r="G925" s="22">
        <v>6.6</v>
      </c>
      <c r="H925" s="22" t="s">
        <v>21</v>
      </c>
      <c r="I925" s="22" t="s">
        <v>14</v>
      </c>
      <c r="J925" s="22">
        <v>4.7</v>
      </c>
    </row>
    <row r="926" spans="1:10" x14ac:dyDescent="0.25">
      <c r="A926" s="22" t="s">
        <v>47</v>
      </c>
      <c r="B926" s="22" t="s">
        <v>979</v>
      </c>
      <c r="C926" s="22">
        <v>1405</v>
      </c>
      <c r="D926" s="22">
        <v>512</v>
      </c>
      <c r="E926" s="22">
        <v>50</v>
      </c>
      <c r="F926" s="22">
        <v>4000</v>
      </c>
      <c r="G926" s="22">
        <v>6.5</v>
      </c>
      <c r="H926" s="22" t="s">
        <v>21</v>
      </c>
      <c r="I926" s="22" t="s">
        <v>14</v>
      </c>
      <c r="J926" s="22">
        <v>3.7</v>
      </c>
    </row>
    <row r="927" spans="1:10" x14ac:dyDescent="0.25">
      <c r="A927" s="22" t="s">
        <v>91</v>
      </c>
      <c r="B927" s="22" t="s">
        <v>980</v>
      </c>
      <c r="C927" s="22">
        <v>1406</v>
      </c>
      <c r="D927" s="22">
        <v>512</v>
      </c>
      <c r="E927" s="22">
        <v>200</v>
      </c>
      <c r="F927" s="22">
        <v>4500</v>
      </c>
      <c r="G927" s="22">
        <v>5.8</v>
      </c>
      <c r="H927" s="22" t="s">
        <v>21</v>
      </c>
      <c r="I927" s="22" t="s">
        <v>14</v>
      </c>
      <c r="J927" s="22">
        <v>3.6</v>
      </c>
    </row>
    <row r="928" spans="1:10" x14ac:dyDescent="0.25">
      <c r="A928" s="22" t="s">
        <v>52</v>
      </c>
      <c r="B928" s="22" t="s">
        <v>981</v>
      </c>
      <c r="C928" s="22">
        <v>1406</v>
      </c>
      <c r="D928" s="22">
        <v>1024</v>
      </c>
      <c r="E928" s="22">
        <v>200</v>
      </c>
      <c r="F928" s="22">
        <v>5000</v>
      </c>
      <c r="G928" s="22">
        <v>7</v>
      </c>
      <c r="H928" s="22" t="s">
        <v>13</v>
      </c>
      <c r="I928" s="22" t="s">
        <v>14</v>
      </c>
      <c r="J928" s="22">
        <v>3.8</v>
      </c>
    </row>
    <row r="929" spans="1:10" x14ac:dyDescent="0.25">
      <c r="A929" s="22" t="s">
        <v>19</v>
      </c>
      <c r="B929" s="22" t="s">
        <v>982</v>
      </c>
      <c r="C929" s="22">
        <v>1408</v>
      </c>
      <c r="D929" s="22">
        <v>512</v>
      </c>
      <c r="E929" s="22">
        <v>64</v>
      </c>
      <c r="F929" s="22">
        <v>6000</v>
      </c>
      <c r="G929" s="22">
        <v>6.9</v>
      </c>
      <c r="H929" s="22" t="s">
        <v>13</v>
      </c>
      <c r="I929" s="22" t="s">
        <v>14</v>
      </c>
      <c r="J929" s="22">
        <v>3.8</v>
      </c>
    </row>
    <row r="930" spans="1:10" x14ac:dyDescent="0.25">
      <c r="A930" s="22" t="s">
        <v>47</v>
      </c>
      <c r="B930" s="22" t="s">
        <v>983</v>
      </c>
      <c r="C930" s="22">
        <v>1409</v>
      </c>
      <c r="D930" s="22">
        <v>1024</v>
      </c>
      <c r="E930" s="22">
        <v>48</v>
      </c>
      <c r="F930" s="22">
        <v>5500</v>
      </c>
      <c r="G930" s="22">
        <v>6.1</v>
      </c>
      <c r="H930" s="22" t="s">
        <v>21</v>
      </c>
      <c r="I930" s="22" t="s">
        <v>14</v>
      </c>
      <c r="J930" s="22">
        <v>4.9000000000000004</v>
      </c>
    </row>
    <row r="931" spans="1:10" x14ac:dyDescent="0.25">
      <c r="A931" s="22" t="s">
        <v>24</v>
      </c>
      <c r="B931" s="22" t="s">
        <v>984</v>
      </c>
      <c r="C931" s="22">
        <v>1410</v>
      </c>
      <c r="D931" s="22">
        <v>128</v>
      </c>
      <c r="E931" s="22">
        <v>64</v>
      </c>
      <c r="F931" s="22">
        <v>4000</v>
      </c>
      <c r="G931" s="22">
        <v>7.1</v>
      </c>
      <c r="H931" s="22" t="s">
        <v>21</v>
      </c>
      <c r="I931" s="22" t="s">
        <v>14</v>
      </c>
      <c r="J931" s="22">
        <v>4.4000000000000004</v>
      </c>
    </row>
    <row r="932" spans="1:10" x14ac:dyDescent="0.25">
      <c r="A932" s="22" t="s">
        <v>47</v>
      </c>
      <c r="B932" s="22" t="s">
        <v>985</v>
      </c>
      <c r="C932" s="22">
        <v>1413</v>
      </c>
      <c r="D932" s="22">
        <v>256</v>
      </c>
      <c r="E932" s="22">
        <v>12</v>
      </c>
      <c r="F932" s="22">
        <v>5000</v>
      </c>
      <c r="G932" s="22">
        <v>6.1</v>
      </c>
      <c r="H932" s="22" t="s">
        <v>13</v>
      </c>
      <c r="I932" s="22" t="s">
        <v>14</v>
      </c>
      <c r="J932" s="22">
        <v>3.7</v>
      </c>
    </row>
    <row r="933" spans="1:10" x14ac:dyDescent="0.25">
      <c r="A933" s="22" t="s">
        <v>16</v>
      </c>
      <c r="B933" s="22" t="s">
        <v>986</v>
      </c>
      <c r="C933" s="22">
        <v>1414</v>
      </c>
      <c r="D933" s="22">
        <v>128</v>
      </c>
      <c r="E933" s="22">
        <v>12</v>
      </c>
      <c r="F933" s="22">
        <v>5500</v>
      </c>
      <c r="G933" s="22">
        <v>6.2</v>
      </c>
      <c r="H933" s="22" t="s">
        <v>13</v>
      </c>
      <c r="I933" s="22" t="s">
        <v>14</v>
      </c>
      <c r="J933" s="22">
        <v>3.8</v>
      </c>
    </row>
    <row r="934" spans="1:10" x14ac:dyDescent="0.25">
      <c r="A934" s="22" t="s">
        <v>47</v>
      </c>
      <c r="B934" s="22" t="s">
        <v>987</v>
      </c>
      <c r="C934" s="22">
        <v>1414</v>
      </c>
      <c r="D934" s="22">
        <v>64</v>
      </c>
      <c r="E934" s="22">
        <v>48</v>
      </c>
      <c r="F934" s="22">
        <v>5500</v>
      </c>
      <c r="G934" s="22">
        <v>6</v>
      </c>
      <c r="H934" s="22" t="s">
        <v>13</v>
      </c>
      <c r="I934" s="22" t="s">
        <v>14</v>
      </c>
      <c r="J934" s="22">
        <v>4.5999999999999996</v>
      </c>
    </row>
    <row r="935" spans="1:10" x14ac:dyDescent="0.25">
      <c r="A935" s="22" t="s">
        <v>58</v>
      </c>
      <c r="B935" s="22" t="s">
        <v>988</v>
      </c>
      <c r="C935" s="22">
        <v>1417</v>
      </c>
      <c r="D935" s="22">
        <v>512</v>
      </c>
      <c r="E935" s="22">
        <v>48</v>
      </c>
      <c r="F935" s="22">
        <v>5000</v>
      </c>
      <c r="G935" s="22">
        <v>5.6</v>
      </c>
      <c r="H935" s="22" t="s">
        <v>13</v>
      </c>
      <c r="I935" s="22" t="s">
        <v>60</v>
      </c>
      <c r="J935" s="22">
        <v>4.9000000000000004</v>
      </c>
    </row>
    <row r="936" spans="1:10" x14ac:dyDescent="0.25">
      <c r="A936" s="22" t="s">
        <v>33</v>
      </c>
      <c r="B936" s="22" t="s">
        <v>989</v>
      </c>
      <c r="C936" s="22">
        <v>1417</v>
      </c>
      <c r="D936" s="22">
        <v>512</v>
      </c>
      <c r="E936" s="22">
        <v>200</v>
      </c>
      <c r="F936" s="22">
        <v>6000</v>
      </c>
      <c r="G936" s="22">
        <v>5.6</v>
      </c>
      <c r="H936" s="22" t="s">
        <v>13</v>
      </c>
      <c r="I936" s="22" t="s">
        <v>14</v>
      </c>
      <c r="J936" s="22">
        <v>4.4000000000000004</v>
      </c>
    </row>
    <row r="937" spans="1:10" x14ac:dyDescent="0.25">
      <c r="A937" s="22" t="s">
        <v>33</v>
      </c>
      <c r="B937" s="22" t="s">
        <v>990</v>
      </c>
      <c r="C937" s="22">
        <v>1417</v>
      </c>
      <c r="D937" s="22">
        <v>512</v>
      </c>
      <c r="E937" s="22">
        <v>12</v>
      </c>
      <c r="F937" s="22">
        <v>6000</v>
      </c>
      <c r="G937" s="22">
        <v>6.4</v>
      </c>
      <c r="H937" s="22" t="s">
        <v>21</v>
      </c>
      <c r="I937" s="22" t="s">
        <v>14</v>
      </c>
      <c r="J937" s="22">
        <v>4.8</v>
      </c>
    </row>
    <row r="938" spans="1:10" x14ac:dyDescent="0.25">
      <c r="A938" s="22" t="s">
        <v>11</v>
      </c>
      <c r="B938" s="22" t="s">
        <v>991</v>
      </c>
      <c r="C938" s="22">
        <v>1420</v>
      </c>
      <c r="D938" s="22">
        <v>256</v>
      </c>
      <c r="E938" s="22">
        <v>200</v>
      </c>
      <c r="F938" s="22">
        <v>5000</v>
      </c>
      <c r="G938" s="22">
        <v>5.6</v>
      </c>
      <c r="H938" s="22" t="s">
        <v>21</v>
      </c>
      <c r="I938" s="22" t="s">
        <v>14</v>
      </c>
      <c r="J938" s="22">
        <v>3.5</v>
      </c>
    </row>
    <row r="939" spans="1:10" x14ac:dyDescent="0.25">
      <c r="A939" s="22" t="s">
        <v>33</v>
      </c>
      <c r="B939" s="22" t="s">
        <v>992</v>
      </c>
      <c r="C939" s="22">
        <v>1425</v>
      </c>
      <c r="D939" s="22">
        <v>256</v>
      </c>
      <c r="E939" s="22">
        <v>64</v>
      </c>
      <c r="F939" s="22">
        <v>6000</v>
      </c>
      <c r="G939" s="22">
        <v>5.8</v>
      </c>
      <c r="H939" s="22" t="s">
        <v>13</v>
      </c>
      <c r="I939" s="22" t="s">
        <v>14</v>
      </c>
      <c r="J939" s="22">
        <v>3.8</v>
      </c>
    </row>
    <row r="940" spans="1:10" x14ac:dyDescent="0.25">
      <c r="A940" s="22" t="s">
        <v>47</v>
      </c>
      <c r="B940" s="22" t="s">
        <v>993</v>
      </c>
      <c r="C940" s="22">
        <v>1425</v>
      </c>
      <c r="D940" s="22">
        <v>1024</v>
      </c>
      <c r="E940" s="22">
        <v>108</v>
      </c>
      <c r="F940" s="22">
        <v>4500</v>
      </c>
      <c r="G940" s="22">
        <v>6.5</v>
      </c>
      <c r="H940" s="22" t="s">
        <v>13</v>
      </c>
      <c r="I940" s="22" t="s">
        <v>14</v>
      </c>
      <c r="J940" s="22">
        <v>3.7</v>
      </c>
    </row>
    <row r="941" spans="1:10" x14ac:dyDescent="0.25">
      <c r="A941" s="22" t="s">
        <v>16</v>
      </c>
      <c r="B941" s="22" t="s">
        <v>994</v>
      </c>
      <c r="C941" s="22">
        <v>1426</v>
      </c>
      <c r="D941" s="22">
        <v>256</v>
      </c>
      <c r="E941" s="22">
        <v>64</v>
      </c>
      <c r="F941" s="22">
        <v>5000</v>
      </c>
      <c r="G941" s="22">
        <v>6.6</v>
      </c>
      <c r="H941" s="22" t="s">
        <v>21</v>
      </c>
      <c r="I941" s="22" t="s">
        <v>14</v>
      </c>
      <c r="J941" s="22">
        <v>4.3</v>
      </c>
    </row>
    <row r="942" spans="1:10" x14ac:dyDescent="0.25">
      <c r="A942" s="22" t="s">
        <v>52</v>
      </c>
      <c r="B942" s="22" t="s">
        <v>995</v>
      </c>
      <c r="C942" s="22">
        <v>1426</v>
      </c>
      <c r="D942" s="22">
        <v>64</v>
      </c>
      <c r="E942" s="22">
        <v>108</v>
      </c>
      <c r="F942" s="22">
        <v>5000</v>
      </c>
      <c r="G942" s="22">
        <v>6.6</v>
      </c>
      <c r="H942" s="22" t="s">
        <v>13</v>
      </c>
      <c r="I942" s="22" t="s">
        <v>14</v>
      </c>
      <c r="J942" s="22">
        <v>5</v>
      </c>
    </row>
    <row r="943" spans="1:10" x14ac:dyDescent="0.25">
      <c r="A943" s="22" t="s">
        <v>19</v>
      </c>
      <c r="B943" s="22" t="s">
        <v>996</v>
      </c>
      <c r="C943" s="22">
        <v>1427</v>
      </c>
      <c r="D943" s="22">
        <v>128</v>
      </c>
      <c r="E943" s="22">
        <v>50</v>
      </c>
      <c r="F943" s="22">
        <v>5500</v>
      </c>
      <c r="G943" s="22">
        <v>7.1</v>
      </c>
      <c r="H943" s="22" t="s">
        <v>13</v>
      </c>
      <c r="I943" s="22" t="s">
        <v>14</v>
      </c>
      <c r="J943" s="22">
        <v>4</v>
      </c>
    </row>
    <row r="944" spans="1:10" x14ac:dyDescent="0.25">
      <c r="A944" s="22" t="s">
        <v>52</v>
      </c>
      <c r="B944" s="22" t="s">
        <v>997</v>
      </c>
      <c r="C944" s="22">
        <v>1427</v>
      </c>
      <c r="D944" s="22">
        <v>128</v>
      </c>
      <c r="E944" s="22">
        <v>200</v>
      </c>
      <c r="F944" s="22">
        <v>5000</v>
      </c>
      <c r="G944" s="22">
        <v>6.9</v>
      </c>
      <c r="H944" s="22" t="s">
        <v>21</v>
      </c>
      <c r="I944" s="22" t="s">
        <v>14</v>
      </c>
      <c r="J944" s="22">
        <v>3.8</v>
      </c>
    </row>
    <row r="945" spans="1:10" x14ac:dyDescent="0.25">
      <c r="A945" s="22" t="s">
        <v>33</v>
      </c>
      <c r="B945" s="22" t="s">
        <v>998</v>
      </c>
      <c r="C945" s="22">
        <v>1429</v>
      </c>
      <c r="D945" s="22">
        <v>256</v>
      </c>
      <c r="E945" s="22">
        <v>50</v>
      </c>
      <c r="F945" s="22">
        <v>6000</v>
      </c>
      <c r="G945" s="22">
        <v>6.7</v>
      </c>
      <c r="H945" s="22" t="s">
        <v>13</v>
      </c>
      <c r="I945" s="22" t="s">
        <v>14</v>
      </c>
      <c r="J945" s="22">
        <v>3.6</v>
      </c>
    </row>
    <row r="946" spans="1:10" x14ac:dyDescent="0.25">
      <c r="A946" s="22" t="s">
        <v>24</v>
      </c>
      <c r="B946" s="22" t="s">
        <v>999</v>
      </c>
      <c r="C946" s="22">
        <v>1430</v>
      </c>
      <c r="D946" s="22">
        <v>64</v>
      </c>
      <c r="E946" s="22">
        <v>48</v>
      </c>
      <c r="F946" s="22">
        <v>6000</v>
      </c>
      <c r="G946" s="22">
        <v>6.1</v>
      </c>
      <c r="H946" s="22" t="s">
        <v>13</v>
      </c>
      <c r="I946" s="22" t="s">
        <v>14</v>
      </c>
      <c r="J946" s="22">
        <v>4.0999999999999996</v>
      </c>
    </row>
    <row r="947" spans="1:10" x14ac:dyDescent="0.25">
      <c r="A947" s="22" t="s">
        <v>16</v>
      </c>
      <c r="B947" s="22" t="s">
        <v>1000</v>
      </c>
      <c r="C947" s="22">
        <v>1432</v>
      </c>
      <c r="D947" s="22">
        <v>1024</v>
      </c>
      <c r="E947" s="22">
        <v>50</v>
      </c>
      <c r="F947" s="22">
        <v>5000</v>
      </c>
      <c r="G947" s="22">
        <v>6.3</v>
      </c>
      <c r="H947" s="22" t="s">
        <v>13</v>
      </c>
      <c r="I947" s="22" t="s">
        <v>14</v>
      </c>
      <c r="J947" s="22">
        <v>3.7</v>
      </c>
    </row>
    <row r="948" spans="1:10" x14ac:dyDescent="0.25">
      <c r="A948" s="22" t="s">
        <v>58</v>
      </c>
      <c r="B948" s="22" t="s">
        <v>1001</v>
      </c>
      <c r="C948" s="22">
        <v>1433</v>
      </c>
      <c r="D948" s="22">
        <v>512</v>
      </c>
      <c r="E948" s="22">
        <v>200</v>
      </c>
      <c r="F948" s="22">
        <v>4000</v>
      </c>
      <c r="G948" s="22">
        <v>6.4</v>
      </c>
      <c r="H948" s="22" t="s">
        <v>13</v>
      </c>
      <c r="I948" s="22" t="s">
        <v>60</v>
      </c>
      <c r="J948" s="22">
        <v>4.9000000000000004</v>
      </c>
    </row>
    <row r="949" spans="1:10" x14ac:dyDescent="0.25">
      <c r="A949" s="22" t="s">
        <v>11</v>
      </c>
      <c r="B949" s="22" t="s">
        <v>1002</v>
      </c>
      <c r="C949" s="22">
        <v>1433</v>
      </c>
      <c r="D949" s="22">
        <v>1024</v>
      </c>
      <c r="E949" s="22">
        <v>64</v>
      </c>
      <c r="F949" s="22">
        <v>4500</v>
      </c>
      <c r="G949" s="22">
        <v>5.8</v>
      </c>
      <c r="H949" s="22" t="s">
        <v>13</v>
      </c>
      <c r="I949" s="22" t="s">
        <v>14</v>
      </c>
      <c r="J949" s="22">
        <v>4.5</v>
      </c>
    </row>
    <row r="950" spans="1:10" x14ac:dyDescent="0.25">
      <c r="A950" s="22" t="s">
        <v>24</v>
      </c>
      <c r="B950" s="22" t="s">
        <v>1003</v>
      </c>
      <c r="C950" s="22">
        <v>1435</v>
      </c>
      <c r="D950" s="22">
        <v>512</v>
      </c>
      <c r="E950" s="22">
        <v>50</v>
      </c>
      <c r="F950" s="22">
        <v>5000</v>
      </c>
      <c r="G950" s="22">
        <v>6.2</v>
      </c>
      <c r="H950" s="22" t="s">
        <v>13</v>
      </c>
      <c r="I950" s="22" t="s">
        <v>14</v>
      </c>
      <c r="J950" s="22">
        <v>4.4000000000000004</v>
      </c>
    </row>
    <row r="951" spans="1:10" x14ac:dyDescent="0.25">
      <c r="A951" s="22" t="s">
        <v>91</v>
      </c>
      <c r="B951" s="22" t="s">
        <v>1004</v>
      </c>
      <c r="C951" s="22">
        <v>1435</v>
      </c>
      <c r="D951" s="22">
        <v>128</v>
      </c>
      <c r="E951" s="22">
        <v>64</v>
      </c>
      <c r="F951" s="22">
        <v>6000</v>
      </c>
      <c r="G951" s="22">
        <v>7</v>
      </c>
      <c r="H951" s="22" t="s">
        <v>21</v>
      </c>
      <c r="I951" s="22" t="s">
        <v>14</v>
      </c>
      <c r="J951" s="22">
        <v>4.8</v>
      </c>
    </row>
    <row r="952" spans="1:10" x14ac:dyDescent="0.25">
      <c r="A952" s="22" t="s">
        <v>91</v>
      </c>
      <c r="B952" s="22" t="s">
        <v>1005</v>
      </c>
      <c r="C952" s="22">
        <v>1436</v>
      </c>
      <c r="D952" s="22">
        <v>128</v>
      </c>
      <c r="E952" s="22">
        <v>50</v>
      </c>
      <c r="F952" s="22">
        <v>4000</v>
      </c>
      <c r="G952" s="22">
        <v>6.8</v>
      </c>
      <c r="H952" s="22" t="s">
        <v>21</v>
      </c>
      <c r="I952" s="22" t="s">
        <v>14</v>
      </c>
      <c r="J952" s="22">
        <v>3.5</v>
      </c>
    </row>
    <row r="953" spans="1:10" x14ac:dyDescent="0.25">
      <c r="A953" s="22" t="s">
        <v>19</v>
      </c>
      <c r="B953" s="22" t="s">
        <v>1006</v>
      </c>
      <c r="C953" s="22">
        <v>1436</v>
      </c>
      <c r="D953" s="22">
        <v>256</v>
      </c>
      <c r="E953" s="22">
        <v>64</v>
      </c>
      <c r="F953" s="22">
        <v>4000</v>
      </c>
      <c r="G953" s="22">
        <v>6.1</v>
      </c>
      <c r="H953" s="22" t="s">
        <v>13</v>
      </c>
      <c r="I953" s="22" t="s">
        <v>14</v>
      </c>
      <c r="J953" s="22">
        <v>3.5</v>
      </c>
    </row>
    <row r="954" spans="1:10" x14ac:dyDescent="0.25">
      <c r="A954" s="22" t="s">
        <v>52</v>
      </c>
      <c r="B954" s="22" t="s">
        <v>1007</v>
      </c>
      <c r="C954" s="22">
        <v>1437</v>
      </c>
      <c r="D954" s="22">
        <v>256</v>
      </c>
      <c r="E954" s="22">
        <v>48</v>
      </c>
      <c r="F954" s="22">
        <v>5000</v>
      </c>
      <c r="G954" s="22">
        <v>6.6</v>
      </c>
      <c r="H954" s="22" t="s">
        <v>21</v>
      </c>
      <c r="I954" s="22" t="s">
        <v>14</v>
      </c>
      <c r="J954" s="22">
        <v>4.3</v>
      </c>
    </row>
    <row r="955" spans="1:10" x14ac:dyDescent="0.25">
      <c r="A955" s="22" t="s">
        <v>16</v>
      </c>
      <c r="B955" s="22" t="s">
        <v>1008</v>
      </c>
      <c r="C955" s="22">
        <v>1441</v>
      </c>
      <c r="D955" s="22">
        <v>256</v>
      </c>
      <c r="E955" s="22">
        <v>200</v>
      </c>
      <c r="F955" s="22">
        <v>6000</v>
      </c>
      <c r="G955" s="22">
        <v>6.9</v>
      </c>
      <c r="H955" s="22" t="s">
        <v>13</v>
      </c>
      <c r="I955" s="22" t="s">
        <v>14</v>
      </c>
      <c r="J955" s="22">
        <v>4.5</v>
      </c>
    </row>
    <row r="956" spans="1:10" x14ac:dyDescent="0.25">
      <c r="A956" s="22" t="s">
        <v>58</v>
      </c>
      <c r="B956" s="22" t="s">
        <v>1009</v>
      </c>
      <c r="C956" s="22">
        <v>1441</v>
      </c>
      <c r="D956" s="22">
        <v>128</v>
      </c>
      <c r="E956" s="22">
        <v>200</v>
      </c>
      <c r="F956" s="22">
        <v>4000</v>
      </c>
      <c r="G956" s="22">
        <v>7</v>
      </c>
      <c r="H956" s="22" t="s">
        <v>13</v>
      </c>
      <c r="I956" s="22" t="s">
        <v>60</v>
      </c>
      <c r="J956" s="22">
        <v>4.4000000000000004</v>
      </c>
    </row>
    <row r="957" spans="1:10" x14ac:dyDescent="0.25">
      <c r="A957" s="22" t="s">
        <v>19</v>
      </c>
      <c r="B957" s="22" t="s">
        <v>1010</v>
      </c>
      <c r="C957" s="22">
        <v>1442</v>
      </c>
      <c r="D957" s="22">
        <v>128</v>
      </c>
      <c r="E957" s="22">
        <v>108</v>
      </c>
      <c r="F957" s="22">
        <v>4500</v>
      </c>
      <c r="G957" s="22">
        <v>6.5</v>
      </c>
      <c r="H957" s="22" t="s">
        <v>13</v>
      </c>
      <c r="I957" s="22" t="s">
        <v>14</v>
      </c>
      <c r="J957" s="22">
        <v>4.7</v>
      </c>
    </row>
    <row r="958" spans="1:10" x14ac:dyDescent="0.25">
      <c r="A958" s="22" t="s">
        <v>16</v>
      </c>
      <c r="B958" s="22" t="s">
        <v>1011</v>
      </c>
      <c r="C958" s="22">
        <v>1444</v>
      </c>
      <c r="D958" s="22">
        <v>256</v>
      </c>
      <c r="E958" s="22">
        <v>12</v>
      </c>
      <c r="F958" s="22">
        <v>4500</v>
      </c>
      <c r="G958" s="22">
        <v>7</v>
      </c>
      <c r="H958" s="22" t="s">
        <v>21</v>
      </c>
      <c r="I958" s="22" t="s">
        <v>14</v>
      </c>
      <c r="J958" s="22">
        <v>4.3</v>
      </c>
    </row>
    <row r="959" spans="1:10" x14ac:dyDescent="0.25">
      <c r="A959" s="22" t="s">
        <v>47</v>
      </c>
      <c r="B959" s="22" t="s">
        <v>1012</v>
      </c>
      <c r="C959" s="22">
        <v>1446</v>
      </c>
      <c r="D959" s="22">
        <v>64</v>
      </c>
      <c r="E959" s="22">
        <v>200</v>
      </c>
      <c r="F959" s="22">
        <v>4500</v>
      </c>
      <c r="G959" s="22">
        <v>5.8</v>
      </c>
      <c r="H959" s="22" t="s">
        <v>21</v>
      </c>
      <c r="I959" s="22" t="s">
        <v>14</v>
      </c>
      <c r="J959" s="22">
        <v>4.5999999999999996</v>
      </c>
    </row>
    <row r="960" spans="1:10" x14ac:dyDescent="0.25">
      <c r="A960" s="22" t="s">
        <v>58</v>
      </c>
      <c r="B960" s="22" t="s">
        <v>1013</v>
      </c>
      <c r="C960" s="22">
        <v>1447</v>
      </c>
      <c r="D960" s="22">
        <v>64</v>
      </c>
      <c r="E960" s="22">
        <v>64</v>
      </c>
      <c r="F960" s="22">
        <v>4500</v>
      </c>
      <c r="G960" s="22">
        <v>6.7</v>
      </c>
      <c r="H960" s="22" t="s">
        <v>21</v>
      </c>
      <c r="I960" s="22" t="s">
        <v>60</v>
      </c>
      <c r="J960" s="22">
        <v>4.7</v>
      </c>
    </row>
    <row r="961" spans="1:10" x14ac:dyDescent="0.25">
      <c r="A961" s="22" t="s">
        <v>33</v>
      </c>
      <c r="B961" s="22" t="s">
        <v>1014</v>
      </c>
      <c r="C961" s="22">
        <v>1447</v>
      </c>
      <c r="D961" s="22">
        <v>128</v>
      </c>
      <c r="E961" s="22">
        <v>64</v>
      </c>
      <c r="F961" s="22">
        <v>4000</v>
      </c>
      <c r="G961" s="22">
        <v>6</v>
      </c>
      <c r="H961" s="22" t="s">
        <v>21</v>
      </c>
      <c r="I961" s="22" t="s">
        <v>14</v>
      </c>
      <c r="J961" s="22">
        <v>3.7</v>
      </c>
    </row>
    <row r="962" spans="1:10" x14ac:dyDescent="0.25">
      <c r="A962" s="22" t="s">
        <v>19</v>
      </c>
      <c r="B962" s="22" t="s">
        <v>1015</v>
      </c>
      <c r="C962" s="22">
        <v>1449</v>
      </c>
      <c r="D962" s="22">
        <v>512</v>
      </c>
      <c r="E962" s="22">
        <v>200</v>
      </c>
      <c r="F962" s="22">
        <v>6000</v>
      </c>
      <c r="G962" s="22">
        <v>6.2</v>
      </c>
      <c r="H962" s="22" t="s">
        <v>13</v>
      </c>
      <c r="I962" s="22" t="s">
        <v>14</v>
      </c>
      <c r="J962" s="22">
        <v>3.8</v>
      </c>
    </row>
    <row r="963" spans="1:10" x14ac:dyDescent="0.25">
      <c r="A963" s="22" t="s">
        <v>47</v>
      </c>
      <c r="B963" s="22" t="s">
        <v>1016</v>
      </c>
      <c r="C963" s="22">
        <v>1450</v>
      </c>
      <c r="D963" s="22">
        <v>1024</v>
      </c>
      <c r="E963" s="22">
        <v>200</v>
      </c>
      <c r="F963" s="22">
        <v>5000</v>
      </c>
      <c r="G963" s="22">
        <v>6.5</v>
      </c>
      <c r="H963" s="22" t="s">
        <v>21</v>
      </c>
      <c r="I963" s="22" t="s">
        <v>14</v>
      </c>
      <c r="J963" s="22">
        <v>4</v>
      </c>
    </row>
    <row r="964" spans="1:10" x14ac:dyDescent="0.25">
      <c r="A964" s="22" t="s">
        <v>47</v>
      </c>
      <c r="B964" s="22" t="s">
        <v>1017</v>
      </c>
      <c r="C964" s="22">
        <v>1450</v>
      </c>
      <c r="D964" s="22">
        <v>512</v>
      </c>
      <c r="E964" s="22">
        <v>12</v>
      </c>
      <c r="F964" s="22">
        <v>4000</v>
      </c>
      <c r="G964" s="22">
        <v>6.5</v>
      </c>
      <c r="H964" s="22" t="s">
        <v>13</v>
      </c>
      <c r="I964" s="22" t="s">
        <v>14</v>
      </c>
      <c r="J964" s="22">
        <v>4.7</v>
      </c>
    </row>
    <row r="965" spans="1:10" x14ac:dyDescent="0.25">
      <c r="A965" s="22" t="s">
        <v>16</v>
      </c>
      <c r="B965" s="22" t="s">
        <v>1018</v>
      </c>
      <c r="C965" s="22">
        <v>1451</v>
      </c>
      <c r="D965" s="22">
        <v>128</v>
      </c>
      <c r="E965" s="22">
        <v>200</v>
      </c>
      <c r="F965" s="22">
        <v>5500</v>
      </c>
      <c r="G965" s="22">
        <v>6.9</v>
      </c>
      <c r="H965" s="22" t="s">
        <v>21</v>
      </c>
      <c r="I965" s="22" t="s">
        <v>14</v>
      </c>
      <c r="J965" s="22">
        <v>4.2</v>
      </c>
    </row>
    <row r="966" spans="1:10" x14ac:dyDescent="0.25">
      <c r="A966" s="22" t="s">
        <v>19</v>
      </c>
      <c r="B966" s="22" t="s">
        <v>1019</v>
      </c>
      <c r="C966" s="22">
        <v>1451</v>
      </c>
      <c r="D966" s="22">
        <v>512</v>
      </c>
      <c r="E966" s="22">
        <v>64</v>
      </c>
      <c r="F966" s="22">
        <v>4000</v>
      </c>
      <c r="G966" s="22">
        <v>7.2</v>
      </c>
      <c r="H966" s="22" t="s">
        <v>13</v>
      </c>
      <c r="I966" s="22" t="s">
        <v>14</v>
      </c>
      <c r="J966" s="22">
        <v>4.8</v>
      </c>
    </row>
    <row r="967" spans="1:10" x14ac:dyDescent="0.25">
      <c r="A967" s="22" t="s">
        <v>33</v>
      </c>
      <c r="B967" s="22" t="s">
        <v>1020</v>
      </c>
      <c r="C967" s="22">
        <v>1455</v>
      </c>
      <c r="D967" s="22">
        <v>512</v>
      </c>
      <c r="E967" s="22">
        <v>108</v>
      </c>
      <c r="F967" s="22">
        <v>5000</v>
      </c>
      <c r="G967" s="22">
        <v>5.9</v>
      </c>
      <c r="H967" s="22" t="s">
        <v>13</v>
      </c>
      <c r="I967" s="22" t="s">
        <v>14</v>
      </c>
      <c r="J967" s="22">
        <v>4.7</v>
      </c>
    </row>
    <row r="968" spans="1:10" x14ac:dyDescent="0.25">
      <c r="A968" s="22" t="s">
        <v>52</v>
      </c>
      <c r="B968" s="22" t="s">
        <v>1021</v>
      </c>
      <c r="C968" s="22">
        <v>1458</v>
      </c>
      <c r="D968" s="22">
        <v>128</v>
      </c>
      <c r="E968" s="22">
        <v>200</v>
      </c>
      <c r="F968" s="22">
        <v>5500</v>
      </c>
      <c r="G968" s="22">
        <v>6.7</v>
      </c>
      <c r="H968" s="22" t="s">
        <v>13</v>
      </c>
      <c r="I968" s="22" t="s">
        <v>14</v>
      </c>
      <c r="J968" s="22">
        <v>4.4000000000000004</v>
      </c>
    </row>
    <row r="969" spans="1:10" x14ac:dyDescent="0.25">
      <c r="A969" s="22" t="s">
        <v>58</v>
      </c>
      <c r="B969" s="22" t="s">
        <v>1022</v>
      </c>
      <c r="C969" s="22">
        <v>1460</v>
      </c>
      <c r="D969" s="22">
        <v>64</v>
      </c>
      <c r="E969" s="22">
        <v>200</v>
      </c>
      <c r="F969" s="22">
        <v>6000</v>
      </c>
      <c r="G969" s="22">
        <v>5.6</v>
      </c>
      <c r="H969" s="22" t="s">
        <v>21</v>
      </c>
      <c r="I969" s="22" t="s">
        <v>60</v>
      </c>
      <c r="J969" s="22">
        <v>4.4000000000000004</v>
      </c>
    </row>
    <row r="970" spans="1:10" x14ac:dyDescent="0.25">
      <c r="A970" s="22" t="s">
        <v>47</v>
      </c>
      <c r="B970" s="22" t="s">
        <v>1023</v>
      </c>
      <c r="C970" s="22">
        <v>1461</v>
      </c>
      <c r="D970" s="22">
        <v>128</v>
      </c>
      <c r="E970" s="22">
        <v>64</v>
      </c>
      <c r="F970" s="22">
        <v>5000</v>
      </c>
      <c r="G970" s="22">
        <v>5.8</v>
      </c>
      <c r="H970" s="22" t="s">
        <v>13</v>
      </c>
      <c r="I970" s="22" t="s">
        <v>14</v>
      </c>
      <c r="J970" s="22">
        <v>3.6</v>
      </c>
    </row>
    <row r="971" spans="1:10" x14ac:dyDescent="0.25">
      <c r="A971" s="22" t="s">
        <v>16</v>
      </c>
      <c r="B971" s="22" t="s">
        <v>1024</v>
      </c>
      <c r="C971" s="22">
        <v>1462</v>
      </c>
      <c r="D971" s="22">
        <v>1024</v>
      </c>
      <c r="E971" s="22">
        <v>200</v>
      </c>
      <c r="F971" s="22">
        <v>5500</v>
      </c>
      <c r="G971" s="22">
        <v>6.3</v>
      </c>
      <c r="H971" s="22" t="s">
        <v>13</v>
      </c>
      <c r="I971" s="22" t="s">
        <v>14</v>
      </c>
      <c r="J971" s="22">
        <v>3.7</v>
      </c>
    </row>
    <row r="972" spans="1:10" x14ac:dyDescent="0.25">
      <c r="A972" s="22" t="s">
        <v>19</v>
      </c>
      <c r="B972" s="22" t="s">
        <v>1025</v>
      </c>
      <c r="C972" s="22">
        <v>1462</v>
      </c>
      <c r="D972" s="22">
        <v>128</v>
      </c>
      <c r="E972" s="22">
        <v>200</v>
      </c>
      <c r="F972" s="22">
        <v>6000</v>
      </c>
      <c r="G972" s="22">
        <v>6.5</v>
      </c>
      <c r="H972" s="22" t="s">
        <v>21</v>
      </c>
      <c r="I972" s="22" t="s">
        <v>14</v>
      </c>
      <c r="J972" s="22">
        <v>4.4000000000000004</v>
      </c>
    </row>
    <row r="973" spans="1:10" x14ac:dyDescent="0.25">
      <c r="A973" s="22" t="s">
        <v>47</v>
      </c>
      <c r="B973" s="22" t="s">
        <v>1026</v>
      </c>
      <c r="C973" s="22">
        <v>1462</v>
      </c>
      <c r="D973" s="22">
        <v>128</v>
      </c>
      <c r="E973" s="22">
        <v>12</v>
      </c>
      <c r="F973" s="22">
        <v>5000</v>
      </c>
      <c r="G973" s="22">
        <v>5.8</v>
      </c>
      <c r="H973" s="22" t="s">
        <v>21</v>
      </c>
      <c r="I973" s="22" t="s">
        <v>14</v>
      </c>
      <c r="J973" s="22">
        <v>4</v>
      </c>
    </row>
    <row r="974" spans="1:10" x14ac:dyDescent="0.25">
      <c r="A974" s="22" t="s">
        <v>24</v>
      </c>
      <c r="B974" s="22" t="s">
        <v>1027</v>
      </c>
      <c r="C974" s="22">
        <v>1464</v>
      </c>
      <c r="D974" s="22">
        <v>512</v>
      </c>
      <c r="E974" s="22">
        <v>48</v>
      </c>
      <c r="F974" s="22">
        <v>4000</v>
      </c>
      <c r="G974" s="22">
        <v>6.9</v>
      </c>
      <c r="H974" s="22" t="s">
        <v>21</v>
      </c>
      <c r="I974" s="22" t="s">
        <v>14</v>
      </c>
      <c r="J974" s="22">
        <v>4</v>
      </c>
    </row>
    <row r="975" spans="1:10" x14ac:dyDescent="0.25">
      <c r="A975" s="22" t="s">
        <v>91</v>
      </c>
      <c r="B975" s="22" t="s">
        <v>1028</v>
      </c>
      <c r="C975" s="22">
        <v>1465</v>
      </c>
      <c r="D975" s="22">
        <v>256</v>
      </c>
      <c r="E975" s="22">
        <v>50</v>
      </c>
      <c r="F975" s="22">
        <v>6000</v>
      </c>
      <c r="G975" s="22">
        <v>5.5</v>
      </c>
      <c r="H975" s="22" t="s">
        <v>21</v>
      </c>
      <c r="I975" s="22" t="s">
        <v>14</v>
      </c>
      <c r="J975" s="22">
        <v>4.2</v>
      </c>
    </row>
    <row r="976" spans="1:10" x14ac:dyDescent="0.25">
      <c r="A976" s="22" t="s">
        <v>58</v>
      </c>
      <c r="B976" s="22" t="s">
        <v>1029</v>
      </c>
      <c r="C976" s="22">
        <v>1466</v>
      </c>
      <c r="D976" s="22">
        <v>256</v>
      </c>
      <c r="E976" s="22">
        <v>108</v>
      </c>
      <c r="F976" s="22">
        <v>4000</v>
      </c>
      <c r="G976" s="22">
        <v>6.1</v>
      </c>
      <c r="H976" s="22" t="s">
        <v>21</v>
      </c>
      <c r="I976" s="22" t="s">
        <v>60</v>
      </c>
      <c r="J976" s="22">
        <v>4.4000000000000004</v>
      </c>
    </row>
    <row r="977" spans="1:10" x14ac:dyDescent="0.25">
      <c r="A977" s="22" t="s">
        <v>24</v>
      </c>
      <c r="B977" s="22" t="s">
        <v>1030</v>
      </c>
      <c r="C977" s="22">
        <v>1466</v>
      </c>
      <c r="D977" s="22">
        <v>1024</v>
      </c>
      <c r="E977" s="22">
        <v>108</v>
      </c>
      <c r="F977" s="22">
        <v>4500</v>
      </c>
      <c r="G977" s="22">
        <v>6.9</v>
      </c>
      <c r="H977" s="22" t="s">
        <v>13</v>
      </c>
      <c r="I977" s="22" t="s">
        <v>14</v>
      </c>
      <c r="J977" s="22">
        <v>3.8</v>
      </c>
    </row>
    <row r="978" spans="1:10" x14ac:dyDescent="0.25">
      <c r="A978" s="22" t="s">
        <v>24</v>
      </c>
      <c r="B978" s="22" t="s">
        <v>1031</v>
      </c>
      <c r="C978" s="22">
        <v>1467</v>
      </c>
      <c r="D978" s="22">
        <v>128</v>
      </c>
      <c r="E978" s="22">
        <v>48</v>
      </c>
      <c r="F978" s="22">
        <v>6000</v>
      </c>
      <c r="G978" s="22">
        <v>6.3</v>
      </c>
      <c r="H978" s="22" t="s">
        <v>13</v>
      </c>
      <c r="I978" s="22" t="s">
        <v>14</v>
      </c>
      <c r="J978" s="22">
        <v>3.8</v>
      </c>
    </row>
    <row r="979" spans="1:10" x14ac:dyDescent="0.25">
      <c r="A979" s="22" t="s">
        <v>58</v>
      </c>
      <c r="B979" s="22" t="s">
        <v>1032</v>
      </c>
      <c r="C979" s="22">
        <v>1467</v>
      </c>
      <c r="D979" s="22">
        <v>1024</v>
      </c>
      <c r="E979" s="22">
        <v>64</v>
      </c>
      <c r="F979" s="22">
        <v>5500</v>
      </c>
      <c r="G979" s="22">
        <v>6.8</v>
      </c>
      <c r="H979" s="22" t="s">
        <v>21</v>
      </c>
      <c r="I979" s="22" t="s">
        <v>60</v>
      </c>
      <c r="J979" s="22">
        <v>3.7</v>
      </c>
    </row>
    <row r="980" spans="1:10" x14ac:dyDescent="0.25">
      <c r="A980" s="22" t="s">
        <v>24</v>
      </c>
      <c r="B980" s="22" t="s">
        <v>1033</v>
      </c>
      <c r="C980" s="22">
        <v>1470</v>
      </c>
      <c r="D980" s="22">
        <v>64</v>
      </c>
      <c r="E980" s="22">
        <v>108</v>
      </c>
      <c r="F980" s="22">
        <v>4000</v>
      </c>
      <c r="G980" s="22">
        <v>6.1</v>
      </c>
      <c r="H980" s="22" t="s">
        <v>21</v>
      </c>
      <c r="I980" s="22" t="s">
        <v>14</v>
      </c>
      <c r="J980" s="22">
        <v>4.7</v>
      </c>
    </row>
    <row r="981" spans="1:10" x14ac:dyDescent="0.25">
      <c r="A981" s="22" t="s">
        <v>47</v>
      </c>
      <c r="B981" s="22" t="s">
        <v>1034</v>
      </c>
      <c r="C981" s="22">
        <v>1471</v>
      </c>
      <c r="D981" s="22">
        <v>64</v>
      </c>
      <c r="E981" s="22">
        <v>108</v>
      </c>
      <c r="F981" s="22">
        <v>5500</v>
      </c>
      <c r="G981" s="22">
        <v>6.6</v>
      </c>
      <c r="H981" s="22" t="s">
        <v>13</v>
      </c>
      <c r="I981" s="22" t="s">
        <v>14</v>
      </c>
      <c r="J981" s="22">
        <v>3.6</v>
      </c>
    </row>
    <row r="982" spans="1:10" x14ac:dyDescent="0.25">
      <c r="A982" s="22" t="s">
        <v>19</v>
      </c>
      <c r="B982" s="22" t="s">
        <v>1035</v>
      </c>
      <c r="C982" s="22">
        <v>1475</v>
      </c>
      <c r="D982" s="22">
        <v>256</v>
      </c>
      <c r="E982" s="22">
        <v>108</v>
      </c>
      <c r="F982" s="22">
        <v>5500</v>
      </c>
      <c r="G982" s="22">
        <v>6.7</v>
      </c>
      <c r="H982" s="22" t="s">
        <v>21</v>
      </c>
      <c r="I982" s="22" t="s">
        <v>14</v>
      </c>
      <c r="J982" s="22">
        <v>4.5</v>
      </c>
    </row>
    <row r="983" spans="1:10" x14ac:dyDescent="0.25">
      <c r="A983" s="22" t="s">
        <v>58</v>
      </c>
      <c r="B983" s="22" t="s">
        <v>1036</v>
      </c>
      <c r="C983" s="22">
        <v>1477</v>
      </c>
      <c r="D983" s="22">
        <v>512</v>
      </c>
      <c r="E983" s="22">
        <v>200</v>
      </c>
      <c r="F983" s="22">
        <v>6000</v>
      </c>
      <c r="G983" s="22">
        <v>5.7</v>
      </c>
      <c r="H983" s="22" t="s">
        <v>13</v>
      </c>
      <c r="I983" s="22" t="s">
        <v>60</v>
      </c>
      <c r="J983" s="22">
        <v>5</v>
      </c>
    </row>
    <row r="984" spans="1:10" x14ac:dyDescent="0.25">
      <c r="A984" s="22" t="s">
        <v>16</v>
      </c>
      <c r="B984" s="22" t="s">
        <v>1037</v>
      </c>
      <c r="C984" s="22">
        <v>1478</v>
      </c>
      <c r="D984" s="22">
        <v>1024</v>
      </c>
      <c r="E984" s="22">
        <v>12</v>
      </c>
      <c r="F984" s="22">
        <v>5500</v>
      </c>
      <c r="G984" s="22">
        <v>6</v>
      </c>
      <c r="H984" s="22" t="s">
        <v>21</v>
      </c>
      <c r="I984" s="22" t="s">
        <v>14</v>
      </c>
      <c r="J984" s="22">
        <v>4.7</v>
      </c>
    </row>
    <row r="985" spans="1:10" x14ac:dyDescent="0.25">
      <c r="A985" s="22" t="s">
        <v>33</v>
      </c>
      <c r="B985" s="22" t="s">
        <v>1038</v>
      </c>
      <c r="C985" s="22">
        <v>1479</v>
      </c>
      <c r="D985" s="22">
        <v>1024</v>
      </c>
      <c r="E985" s="22">
        <v>108</v>
      </c>
      <c r="F985" s="22">
        <v>4000</v>
      </c>
      <c r="G985" s="22">
        <v>6.2</v>
      </c>
      <c r="H985" s="22" t="s">
        <v>13</v>
      </c>
      <c r="I985" s="22" t="s">
        <v>14</v>
      </c>
      <c r="J985" s="22">
        <v>3.5</v>
      </c>
    </row>
    <row r="986" spans="1:10" x14ac:dyDescent="0.25">
      <c r="A986" s="22" t="s">
        <v>16</v>
      </c>
      <c r="B986" s="22" t="s">
        <v>1039</v>
      </c>
      <c r="C986" s="22">
        <v>1479</v>
      </c>
      <c r="D986" s="22">
        <v>256</v>
      </c>
      <c r="E986" s="22">
        <v>200</v>
      </c>
      <c r="F986" s="22">
        <v>5000</v>
      </c>
      <c r="G986" s="22">
        <v>5.9</v>
      </c>
      <c r="H986" s="22" t="s">
        <v>13</v>
      </c>
      <c r="I986" s="22" t="s">
        <v>14</v>
      </c>
      <c r="J986" s="22">
        <v>4.3</v>
      </c>
    </row>
    <row r="987" spans="1:10" x14ac:dyDescent="0.25">
      <c r="A987" s="22" t="s">
        <v>33</v>
      </c>
      <c r="B987" s="22" t="s">
        <v>1040</v>
      </c>
      <c r="C987" s="22">
        <v>1479</v>
      </c>
      <c r="D987" s="22">
        <v>256</v>
      </c>
      <c r="E987" s="22">
        <v>48</v>
      </c>
      <c r="F987" s="22">
        <v>4000</v>
      </c>
      <c r="G987" s="22">
        <v>6.6</v>
      </c>
      <c r="H987" s="22" t="s">
        <v>21</v>
      </c>
      <c r="I987" s="22" t="s">
        <v>14</v>
      </c>
      <c r="J987" s="22">
        <v>3.8</v>
      </c>
    </row>
    <row r="988" spans="1:10" x14ac:dyDescent="0.25">
      <c r="A988" s="22" t="s">
        <v>52</v>
      </c>
      <c r="B988" s="22" t="s">
        <v>1041</v>
      </c>
      <c r="C988" s="22">
        <v>1480</v>
      </c>
      <c r="D988" s="22">
        <v>256</v>
      </c>
      <c r="E988" s="22">
        <v>64</v>
      </c>
      <c r="F988" s="22">
        <v>6000</v>
      </c>
      <c r="G988" s="22">
        <v>6.5</v>
      </c>
      <c r="H988" s="22" t="s">
        <v>13</v>
      </c>
      <c r="I988" s="22" t="s">
        <v>14</v>
      </c>
      <c r="J988" s="22">
        <v>3.7</v>
      </c>
    </row>
    <row r="989" spans="1:10" x14ac:dyDescent="0.25">
      <c r="A989" s="22" t="s">
        <v>52</v>
      </c>
      <c r="B989" s="22" t="s">
        <v>1042</v>
      </c>
      <c r="C989" s="22">
        <v>1480</v>
      </c>
      <c r="D989" s="22">
        <v>512</v>
      </c>
      <c r="E989" s="22">
        <v>108</v>
      </c>
      <c r="F989" s="22">
        <v>6000</v>
      </c>
      <c r="G989" s="22">
        <v>6.3</v>
      </c>
      <c r="H989" s="22" t="s">
        <v>13</v>
      </c>
      <c r="I989" s="22" t="s">
        <v>14</v>
      </c>
      <c r="J989" s="22">
        <v>4.7</v>
      </c>
    </row>
    <row r="990" spans="1:10" x14ac:dyDescent="0.25">
      <c r="A990" s="22" t="s">
        <v>16</v>
      </c>
      <c r="B990" s="22" t="s">
        <v>1043</v>
      </c>
      <c r="C990" s="22">
        <v>1480</v>
      </c>
      <c r="D990" s="22">
        <v>512</v>
      </c>
      <c r="E990" s="22">
        <v>48</v>
      </c>
      <c r="F990" s="22">
        <v>5000</v>
      </c>
      <c r="G990" s="22">
        <v>6.4</v>
      </c>
      <c r="H990" s="22" t="s">
        <v>21</v>
      </c>
      <c r="I990" s="22" t="s">
        <v>14</v>
      </c>
      <c r="J990" s="22">
        <v>4.5999999999999996</v>
      </c>
    </row>
    <row r="991" spans="1:10" x14ac:dyDescent="0.25">
      <c r="A991" s="22" t="s">
        <v>33</v>
      </c>
      <c r="B991" s="22" t="s">
        <v>1044</v>
      </c>
      <c r="C991" s="22">
        <v>1483</v>
      </c>
      <c r="D991" s="22">
        <v>512</v>
      </c>
      <c r="E991" s="22">
        <v>64</v>
      </c>
      <c r="F991" s="22">
        <v>4000</v>
      </c>
      <c r="G991" s="22">
        <v>6.6</v>
      </c>
      <c r="H991" s="22" t="s">
        <v>13</v>
      </c>
      <c r="I991" s="22" t="s">
        <v>14</v>
      </c>
      <c r="J991" s="22">
        <v>3.5</v>
      </c>
    </row>
    <row r="992" spans="1:10" x14ac:dyDescent="0.25">
      <c r="A992" s="22" t="s">
        <v>47</v>
      </c>
      <c r="B992" s="22" t="s">
        <v>1045</v>
      </c>
      <c r="C992" s="22">
        <v>1483</v>
      </c>
      <c r="D992" s="22">
        <v>512</v>
      </c>
      <c r="E992" s="22">
        <v>50</v>
      </c>
      <c r="F992" s="22">
        <v>5500</v>
      </c>
      <c r="G992" s="22">
        <v>7</v>
      </c>
      <c r="H992" s="22" t="s">
        <v>21</v>
      </c>
      <c r="I992" s="22" t="s">
        <v>14</v>
      </c>
      <c r="J992" s="22">
        <v>4.0999999999999996</v>
      </c>
    </row>
    <row r="993" spans="1:10" x14ac:dyDescent="0.25">
      <c r="A993" s="22" t="s">
        <v>24</v>
      </c>
      <c r="B993" s="22" t="s">
        <v>1046</v>
      </c>
      <c r="C993" s="22">
        <v>1485</v>
      </c>
      <c r="D993" s="22">
        <v>512</v>
      </c>
      <c r="E993" s="22">
        <v>48</v>
      </c>
      <c r="F993" s="22">
        <v>5000</v>
      </c>
      <c r="G993" s="22">
        <v>6.5</v>
      </c>
      <c r="H993" s="22" t="s">
        <v>13</v>
      </c>
      <c r="I993" s="22" t="s">
        <v>14</v>
      </c>
      <c r="J993" s="22">
        <v>4.4000000000000004</v>
      </c>
    </row>
    <row r="994" spans="1:10" x14ac:dyDescent="0.25">
      <c r="A994" s="22" t="s">
        <v>33</v>
      </c>
      <c r="B994" s="22" t="s">
        <v>1047</v>
      </c>
      <c r="C994" s="22">
        <v>1486</v>
      </c>
      <c r="D994" s="22">
        <v>64</v>
      </c>
      <c r="E994" s="22">
        <v>48</v>
      </c>
      <c r="F994" s="22">
        <v>5500</v>
      </c>
      <c r="G994" s="22">
        <v>6.3</v>
      </c>
      <c r="H994" s="22" t="s">
        <v>13</v>
      </c>
      <c r="I994" s="22" t="s">
        <v>14</v>
      </c>
      <c r="J994" s="22">
        <v>4.8</v>
      </c>
    </row>
    <row r="995" spans="1:10" x14ac:dyDescent="0.25">
      <c r="A995" s="22" t="s">
        <v>16</v>
      </c>
      <c r="B995" s="22" t="s">
        <v>1048</v>
      </c>
      <c r="C995" s="22">
        <v>1492</v>
      </c>
      <c r="D995" s="22">
        <v>1024</v>
      </c>
      <c r="E995" s="22">
        <v>48</v>
      </c>
      <c r="F995" s="22">
        <v>6000</v>
      </c>
      <c r="G995" s="22">
        <v>6.7</v>
      </c>
      <c r="H995" s="22" t="s">
        <v>13</v>
      </c>
      <c r="I995" s="22" t="s">
        <v>14</v>
      </c>
      <c r="J995" s="22">
        <v>4.4000000000000004</v>
      </c>
    </row>
    <row r="996" spans="1:10" x14ac:dyDescent="0.25">
      <c r="A996" s="22" t="s">
        <v>33</v>
      </c>
      <c r="B996" s="22" t="s">
        <v>1049</v>
      </c>
      <c r="C996" s="22">
        <v>1495</v>
      </c>
      <c r="D996" s="22">
        <v>64</v>
      </c>
      <c r="E996" s="22">
        <v>64</v>
      </c>
      <c r="F996" s="22">
        <v>5000</v>
      </c>
      <c r="G996" s="22">
        <v>5.6</v>
      </c>
      <c r="H996" s="22" t="s">
        <v>21</v>
      </c>
      <c r="I996" s="22" t="s">
        <v>14</v>
      </c>
      <c r="J996" s="22">
        <v>4.9000000000000004</v>
      </c>
    </row>
    <row r="997" spans="1:10" x14ac:dyDescent="0.25">
      <c r="A997" s="22" t="s">
        <v>19</v>
      </c>
      <c r="B997" s="22" t="s">
        <v>1050</v>
      </c>
      <c r="C997" s="22">
        <v>1496</v>
      </c>
      <c r="D997" s="22">
        <v>1024</v>
      </c>
      <c r="E997" s="22">
        <v>12</v>
      </c>
      <c r="F997" s="22">
        <v>5000</v>
      </c>
      <c r="G997" s="22">
        <v>7</v>
      </c>
      <c r="H997" s="22" t="s">
        <v>13</v>
      </c>
      <c r="I997" s="22" t="s">
        <v>14</v>
      </c>
      <c r="J997" s="22">
        <v>4.5999999999999996</v>
      </c>
    </row>
    <row r="998" spans="1:10" x14ac:dyDescent="0.25">
      <c r="A998" s="22" t="s">
        <v>47</v>
      </c>
      <c r="B998" s="22" t="s">
        <v>1051</v>
      </c>
      <c r="C998" s="22">
        <v>1497</v>
      </c>
      <c r="D998" s="22">
        <v>256</v>
      </c>
      <c r="E998" s="22">
        <v>64</v>
      </c>
      <c r="F998" s="22">
        <v>4000</v>
      </c>
      <c r="G998" s="22">
        <v>5.7</v>
      </c>
      <c r="H998" s="22" t="s">
        <v>21</v>
      </c>
      <c r="I998" s="22" t="s">
        <v>14</v>
      </c>
      <c r="J998" s="22">
        <v>3.6</v>
      </c>
    </row>
    <row r="999" spans="1:10" x14ac:dyDescent="0.25">
      <c r="A999" s="22" t="s">
        <v>91</v>
      </c>
      <c r="B999" s="22" t="s">
        <v>1052</v>
      </c>
      <c r="C999" s="22">
        <v>1498</v>
      </c>
      <c r="D999" s="22">
        <v>512</v>
      </c>
      <c r="E999" s="22">
        <v>50</v>
      </c>
      <c r="F999" s="22">
        <v>5000</v>
      </c>
      <c r="G999" s="22">
        <v>5.7</v>
      </c>
      <c r="H999" s="22" t="s">
        <v>21</v>
      </c>
      <c r="I999" s="22" t="s">
        <v>14</v>
      </c>
      <c r="J999" s="22">
        <v>3.8</v>
      </c>
    </row>
    <row r="1000" spans="1:10" x14ac:dyDescent="0.25">
      <c r="A1000" s="22" t="s">
        <v>16</v>
      </c>
      <c r="B1000" s="22" t="s">
        <v>1053</v>
      </c>
      <c r="C1000" s="22">
        <v>1498</v>
      </c>
      <c r="D1000" s="22">
        <v>512</v>
      </c>
      <c r="E1000" s="22">
        <v>12</v>
      </c>
      <c r="F1000" s="22">
        <v>5000</v>
      </c>
      <c r="G1000" s="22">
        <v>6.6</v>
      </c>
      <c r="H1000" s="22" t="s">
        <v>21</v>
      </c>
      <c r="I1000" s="22" t="s">
        <v>14</v>
      </c>
      <c r="J1000" s="22">
        <v>4.7</v>
      </c>
    </row>
    <row r="1001" spans="1:10" x14ac:dyDescent="0.25">
      <c r="A1001" s="22" t="s">
        <v>33</v>
      </c>
      <c r="B1001" s="22" t="s">
        <v>1054</v>
      </c>
      <c r="C1001" s="22">
        <v>1499</v>
      </c>
      <c r="D1001" s="22">
        <v>256</v>
      </c>
      <c r="E1001" s="22">
        <v>108</v>
      </c>
      <c r="F1001" s="22">
        <v>5000</v>
      </c>
      <c r="G1001" s="22">
        <v>7.1</v>
      </c>
      <c r="H1001" s="22" t="s">
        <v>21</v>
      </c>
      <c r="I1001" s="22" t="s">
        <v>14</v>
      </c>
      <c r="J1001" s="22">
        <v>4.5999999999999996</v>
      </c>
    </row>
  </sheetData>
  <sortState xmlns:xlrd2="http://schemas.microsoft.com/office/spreadsheetml/2017/richdata2" ref="A2:J1001">
    <sortCondition ref="C2:C100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4871-378A-480E-A5F5-9D44762F0235}">
  <dimension ref="A1:W1001"/>
  <sheetViews>
    <sheetView topLeftCell="F4" workbookViewId="0">
      <selection activeCell="N1" sqref="N1"/>
    </sheetView>
  </sheetViews>
  <sheetFormatPr defaultColWidth="9.109375" defaultRowHeight="13.8" x14ac:dyDescent="0.25"/>
  <cols>
    <col min="1" max="1" width="16.5546875" style="4" customWidth="1"/>
    <col min="2" max="2" width="17.44140625" style="4" customWidth="1"/>
    <col min="3" max="4" width="17.77734375" style="4" customWidth="1"/>
    <col min="5" max="5" width="9.109375" style="4"/>
    <col min="6" max="6" width="14.6640625" style="4" customWidth="1"/>
    <col min="7" max="7" width="15.44140625" style="4" customWidth="1"/>
    <col min="8" max="8" width="16.44140625" style="4" bestFit="1" customWidth="1"/>
    <col min="9" max="9" width="15.88671875" style="4" customWidth="1"/>
    <col min="10" max="10" width="16.109375" style="4" customWidth="1"/>
    <col min="11" max="14" width="16.21875" style="4" customWidth="1"/>
    <col min="15" max="15" width="21.5546875" style="4" customWidth="1"/>
    <col min="16" max="16" width="21.21875" style="4" customWidth="1"/>
    <col min="17" max="17" width="26" style="4" customWidth="1"/>
    <col min="18" max="18" width="14.44140625" style="4" customWidth="1"/>
    <col min="19" max="19" width="13" style="4" bestFit="1" customWidth="1"/>
    <col min="20" max="20" width="14.88671875" style="4" customWidth="1"/>
    <col min="21" max="21" width="14.77734375" style="4" customWidth="1"/>
    <col min="22" max="22" width="13.88671875" style="4" customWidth="1"/>
    <col min="23" max="23" width="13.21875" style="4" customWidth="1"/>
    <col min="24" max="27" width="4.44140625" style="4" bestFit="1" customWidth="1"/>
    <col min="28" max="28" width="17.6640625" style="4" customWidth="1"/>
    <col min="29" max="29" width="16.44140625" style="4" bestFit="1" customWidth="1"/>
    <col min="30" max="30" width="7" style="4" bestFit="1" customWidth="1"/>
    <col min="31" max="31" width="8.33203125" style="4" bestFit="1" customWidth="1"/>
    <col min="32" max="32" width="13" style="4" bestFit="1" customWidth="1"/>
    <col min="33" max="33" width="17.6640625" style="4" bestFit="1" customWidth="1"/>
    <col min="34" max="34" width="7" style="4" bestFit="1" customWidth="1"/>
    <col min="35" max="35" width="8.33203125" style="4" bestFit="1" customWidth="1"/>
    <col min="36" max="36" width="11.44140625" style="4" bestFit="1" customWidth="1"/>
    <col min="37" max="265" width="4.44140625" style="4" bestFit="1" customWidth="1"/>
    <col min="266" max="266" width="11.6640625" style="4" bestFit="1" customWidth="1"/>
    <col min="267" max="267" width="8.88671875" style="4" bestFit="1" customWidth="1"/>
    <col min="268" max="524" width="5.33203125" style="4" bestFit="1" customWidth="1"/>
    <col min="525" max="525" width="11.88671875" style="4" bestFit="1" customWidth="1"/>
    <col min="526" max="526" width="10.109375" style="4" bestFit="1" customWidth="1"/>
    <col min="527" max="740" width="4.44140625" style="4" bestFit="1" customWidth="1"/>
    <col min="741" max="756" width="5.33203125" style="4" bestFit="1" customWidth="1"/>
    <col min="757" max="757" width="13.33203125" style="4" bestFit="1" customWidth="1"/>
    <col min="758" max="758" width="11.44140625" style="4" bestFit="1" customWidth="1"/>
    <col min="759" max="16384" width="9.109375" style="4"/>
  </cols>
  <sheetData>
    <row r="1" spans="1:23" x14ac:dyDescent="0.25">
      <c r="A1" s="1" t="s">
        <v>0</v>
      </c>
      <c r="B1" s="2" t="s">
        <v>2</v>
      </c>
      <c r="C1" s="3" t="s">
        <v>1056</v>
      </c>
    </row>
    <row r="2" spans="1:23" x14ac:dyDescent="0.25">
      <c r="A2" s="5" t="s">
        <v>58</v>
      </c>
      <c r="B2" s="6">
        <v>126</v>
      </c>
      <c r="C2" s="7" t="str" cm="1">
        <f t="array" ref="C2">_xlfn.IFS(B2 &lt;= 567, "Cheap", B2 &lt;= 1033, "Medium", TRUE, "Higher")</f>
        <v>Cheap</v>
      </c>
      <c r="O2" s="8" t="s">
        <v>1057</v>
      </c>
      <c r="P2" s="7">
        <f>MIN(B:B)</f>
        <v>101</v>
      </c>
    </row>
    <row r="3" spans="1:23" x14ac:dyDescent="0.25">
      <c r="A3" s="5" t="s">
        <v>58</v>
      </c>
      <c r="B3" s="6">
        <v>139</v>
      </c>
      <c r="C3" s="7" t="str" cm="1">
        <f t="array" ref="C3">_xlfn.IFS(B3 &lt;= 567, "Cheap", B3 &lt;= 1033, "Medium", TRUE, "Higher")</f>
        <v>Cheap</v>
      </c>
      <c r="O3" s="8" t="s">
        <v>1058</v>
      </c>
      <c r="P3" s="7">
        <f>MAX(B:B)</f>
        <v>1499</v>
      </c>
    </row>
    <row r="4" spans="1:23" x14ac:dyDescent="0.25">
      <c r="A4" s="5" t="s">
        <v>58</v>
      </c>
      <c r="B4" s="6">
        <v>151</v>
      </c>
      <c r="C4" s="7" t="str" cm="1">
        <f t="array" ref="C4">_xlfn.IFS(B4 &lt;= 567, "Cheap", B4 &lt;= 1033, "Medium", TRUE, "Higher")</f>
        <v>Cheap</v>
      </c>
      <c r="E4" s="49" t="s">
        <v>1059</v>
      </c>
      <c r="F4" s="9" t="s">
        <v>1060</v>
      </c>
      <c r="G4" s="50" t="s">
        <v>36</v>
      </c>
      <c r="H4" s="51"/>
      <c r="I4" s="9" t="s">
        <v>1061</v>
      </c>
      <c r="J4" s="9" t="s">
        <v>40</v>
      </c>
      <c r="K4" s="9" t="s">
        <v>42</v>
      </c>
      <c r="L4" s="9" t="s">
        <v>45</v>
      </c>
      <c r="O4" s="8" t="s">
        <v>1062</v>
      </c>
      <c r="P4" s="7">
        <f>(P3-P2)/3</f>
        <v>466</v>
      </c>
    </row>
    <row r="5" spans="1:23" x14ac:dyDescent="0.25">
      <c r="A5" s="5" t="s">
        <v>58</v>
      </c>
      <c r="B5" s="6">
        <v>154</v>
      </c>
      <c r="C5" s="7" t="str" cm="1">
        <f t="array" ref="C5">_xlfn.IFS(B5 &lt;= 567, "Cheap", B5 &lt;= 1033, "Medium", TRUE, "Higher")</f>
        <v>Cheap</v>
      </c>
      <c r="E5" s="49"/>
      <c r="F5" s="7">
        <v>1</v>
      </c>
      <c r="G5" s="7">
        <f>MIN(O23:O256)</f>
        <v>101</v>
      </c>
      <c r="H5" s="7">
        <f t="shared" ref="H5:H13" si="0">_xlfn.PERCENTILE.EXC($O$23:$O$256, F5/10)</f>
        <v>140</v>
      </c>
      <c r="I5" s="7" cm="1">
        <f t="array" ref="I5:I14">INDEX(FREQUENCY($O$23:$O$256,H5:H14), _xlfn.SEQUENCE(10))</f>
        <v>23</v>
      </c>
      <c r="J5" s="10">
        <f>I5/$I$15</f>
        <v>9.8290598290598288E-2</v>
      </c>
      <c r="K5" s="7">
        <f>SUMIFS($O$23:$O$256, $O$23:$O$256, "&gt;="&amp;G5, $O$23:$O$256, "&lt;="&amp;H5)</f>
        <v>2798</v>
      </c>
      <c r="L5" s="10">
        <f>K5/K15</f>
        <v>3.7010582010582008E-2</v>
      </c>
      <c r="O5" s="8" t="s">
        <v>1063</v>
      </c>
      <c r="P5" s="7">
        <f>P2+P4</f>
        <v>567</v>
      </c>
    </row>
    <row r="6" spans="1:23" x14ac:dyDescent="0.25">
      <c r="A6" s="5" t="s">
        <v>58</v>
      </c>
      <c r="B6" s="6">
        <v>164</v>
      </c>
      <c r="C6" s="7" t="str" cm="1">
        <f t="array" ref="C6">_xlfn.IFS(B6 &lt;= 567, "Cheap", B6 &lt;= 1033, "Medium", TRUE, "Higher")</f>
        <v>Cheap</v>
      </c>
      <c r="E6" s="49"/>
      <c r="F6" s="7">
        <v>2</v>
      </c>
      <c r="G6" s="7">
        <f>H5</f>
        <v>140</v>
      </c>
      <c r="H6" s="7">
        <f t="shared" si="0"/>
        <v>183</v>
      </c>
      <c r="I6" s="7">
        <v>24</v>
      </c>
      <c r="J6" s="10">
        <f>J5+I6/$I$15</f>
        <v>0.20085470085470086</v>
      </c>
      <c r="K6" s="7">
        <f t="shared" ref="K6:K14" si="1">SUMIFS($O$23:$O$256, $O$23:$O$256, "&gt;"&amp;G6, $O$23:$O$256, "&lt;="&amp;H6)</f>
        <v>3942</v>
      </c>
      <c r="L6" s="10">
        <f>L5+K6/$K$15</f>
        <v>8.9153439153439151E-2</v>
      </c>
      <c r="O6" s="8" t="s">
        <v>1064</v>
      </c>
      <c r="P6" s="7">
        <f>P5+P4</f>
        <v>1033</v>
      </c>
    </row>
    <row r="7" spans="1:23" x14ac:dyDescent="0.25">
      <c r="A7" s="5" t="s">
        <v>58</v>
      </c>
      <c r="B7" s="6">
        <v>168</v>
      </c>
      <c r="C7" s="7" t="str" cm="1">
        <f t="array" ref="C7">_xlfn.IFS(B7 &lt;= 567, "Cheap", B7 &lt;= 1033, "Medium", TRUE, "Higher")</f>
        <v>Cheap</v>
      </c>
      <c r="E7" s="49"/>
      <c r="F7" s="7">
        <v>3</v>
      </c>
      <c r="G7" s="7">
        <f t="shared" ref="G7:G14" si="2">H6</f>
        <v>183</v>
      </c>
      <c r="H7" s="7">
        <f t="shared" si="0"/>
        <v>230.5</v>
      </c>
      <c r="I7" s="7">
        <v>23</v>
      </c>
      <c r="J7" s="10">
        <f t="shared" ref="J7:J14" si="3">J6+I7/$I$15</f>
        <v>0.29914529914529914</v>
      </c>
      <c r="K7" s="7">
        <f t="shared" si="1"/>
        <v>4747</v>
      </c>
      <c r="L7" s="10">
        <f t="shared" ref="L7:L14" si="4">L6+K7/$K$15</f>
        <v>0.15194444444444444</v>
      </c>
      <c r="O7" s="8" t="s">
        <v>1065</v>
      </c>
      <c r="P7" s="7">
        <f>P6+P4</f>
        <v>1499</v>
      </c>
    </row>
    <row r="8" spans="1:23" x14ac:dyDescent="0.25">
      <c r="A8" s="5" t="s">
        <v>58</v>
      </c>
      <c r="B8" s="6">
        <v>170</v>
      </c>
      <c r="C8" s="7" t="str" cm="1">
        <f t="array" ref="C8">_xlfn.IFS(B8 &lt;= 567, "Cheap", B8 &lt;= 1033, "Medium", TRUE, "Higher")</f>
        <v>Cheap</v>
      </c>
      <c r="E8" s="49"/>
      <c r="F8" s="7">
        <v>4</v>
      </c>
      <c r="G8" s="7">
        <f t="shared" si="2"/>
        <v>230.5</v>
      </c>
      <c r="H8" s="7">
        <f t="shared" si="0"/>
        <v>275</v>
      </c>
      <c r="I8" s="7">
        <v>24</v>
      </c>
      <c r="J8" s="10">
        <f t="shared" si="3"/>
        <v>0.40170940170940173</v>
      </c>
      <c r="K8" s="7">
        <f t="shared" si="1"/>
        <v>6030</v>
      </c>
      <c r="L8" s="10">
        <f t="shared" si="4"/>
        <v>0.23170634920634919</v>
      </c>
    </row>
    <row r="9" spans="1:23" x14ac:dyDescent="0.25">
      <c r="A9" s="5" t="s">
        <v>58</v>
      </c>
      <c r="B9" s="6">
        <v>183</v>
      </c>
      <c r="C9" s="7" t="str" cm="1">
        <f t="array" ref="C9">_xlfn.IFS(B9 &lt;= 567, "Cheap", B9 &lt;= 1033, "Medium", TRUE, "Higher")</f>
        <v>Cheap</v>
      </c>
      <c r="E9" s="49"/>
      <c r="F9" s="7">
        <v>5</v>
      </c>
      <c r="G9" s="7">
        <f t="shared" si="2"/>
        <v>275</v>
      </c>
      <c r="H9" s="7">
        <f t="shared" si="0"/>
        <v>313.5</v>
      </c>
      <c r="I9" s="7">
        <v>23</v>
      </c>
      <c r="J9" s="10">
        <f t="shared" si="3"/>
        <v>0.5</v>
      </c>
      <c r="K9" s="7">
        <f t="shared" si="1"/>
        <v>6771</v>
      </c>
      <c r="L9" s="10">
        <f t="shared" si="4"/>
        <v>0.32126984126984126</v>
      </c>
    </row>
    <row r="10" spans="1:23" x14ac:dyDescent="0.25">
      <c r="A10" s="5" t="s">
        <v>58</v>
      </c>
      <c r="B10" s="6">
        <v>186</v>
      </c>
      <c r="C10" s="7" t="str" cm="1">
        <f t="array" ref="C10">_xlfn.IFS(B10 &lt;= 567, "Cheap", B10 &lt;= 1033, "Medium", TRUE, "Higher")</f>
        <v>Cheap</v>
      </c>
      <c r="E10" s="49"/>
      <c r="F10" s="7">
        <v>6</v>
      </c>
      <c r="G10" s="7">
        <f t="shared" si="2"/>
        <v>313.5</v>
      </c>
      <c r="H10" s="7">
        <f t="shared" si="0"/>
        <v>361</v>
      </c>
      <c r="I10" s="7">
        <v>24</v>
      </c>
      <c r="J10" s="10">
        <f t="shared" si="3"/>
        <v>0.60256410256410253</v>
      </c>
      <c r="K10" s="7">
        <f t="shared" si="1"/>
        <v>8109</v>
      </c>
      <c r="L10" s="10">
        <f t="shared" si="4"/>
        <v>0.42853174603174604</v>
      </c>
      <c r="O10" s="11" t="s">
        <v>1056</v>
      </c>
      <c r="P10" s="4" t="s">
        <v>1066</v>
      </c>
    </row>
    <row r="11" spans="1:23" x14ac:dyDescent="0.25">
      <c r="A11" s="5" t="s">
        <v>58</v>
      </c>
      <c r="B11" s="6">
        <v>225</v>
      </c>
      <c r="C11" s="7" t="str" cm="1">
        <f t="array" ref="C11">_xlfn.IFS(B11 &lt;= 567, "Cheap", B11 &lt;= 1033, "Medium", TRUE, "Higher")</f>
        <v>Cheap</v>
      </c>
      <c r="E11" s="49"/>
      <c r="F11" s="7">
        <v>7</v>
      </c>
      <c r="G11" s="7">
        <f t="shared" si="2"/>
        <v>361</v>
      </c>
      <c r="H11" s="7">
        <f t="shared" si="0"/>
        <v>414.5</v>
      </c>
      <c r="I11" s="7">
        <v>23</v>
      </c>
      <c r="J11" s="10">
        <f t="shared" si="3"/>
        <v>0.70085470085470081</v>
      </c>
      <c r="K11" s="7">
        <f t="shared" si="1"/>
        <v>8972</v>
      </c>
      <c r="L11" s="10">
        <f t="shared" si="4"/>
        <v>0.54720899470899476</v>
      </c>
      <c r="O11" s="4" t="s">
        <v>1067</v>
      </c>
      <c r="P11" s="4">
        <v>452810</v>
      </c>
    </row>
    <row r="12" spans="1:23" x14ac:dyDescent="0.25">
      <c r="A12" s="5" t="s">
        <v>58</v>
      </c>
      <c r="B12" s="6">
        <v>259</v>
      </c>
      <c r="C12" s="7" t="str" cm="1">
        <f t="array" ref="C12">_xlfn.IFS(B12 &lt;= 567, "Cheap", B12 &lt;= 1033, "Medium", TRUE, "Higher")</f>
        <v>Cheap</v>
      </c>
      <c r="E12" s="49"/>
      <c r="F12" s="7">
        <v>8</v>
      </c>
      <c r="G12" s="7">
        <f t="shared" si="2"/>
        <v>414.5</v>
      </c>
      <c r="H12" s="7">
        <f t="shared" si="0"/>
        <v>465</v>
      </c>
      <c r="I12" s="7">
        <v>24</v>
      </c>
      <c r="J12" s="10">
        <f t="shared" si="3"/>
        <v>0.80341880341880334</v>
      </c>
      <c r="K12" s="7">
        <f t="shared" si="1"/>
        <v>10579</v>
      </c>
      <c r="L12" s="10">
        <f t="shared" si="4"/>
        <v>0.68714285714285717</v>
      </c>
      <c r="O12" s="4" t="s">
        <v>1068</v>
      </c>
      <c r="P12" s="4">
        <v>256264</v>
      </c>
    </row>
    <row r="13" spans="1:23" x14ac:dyDescent="0.25">
      <c r="A13" s="5" t="s">
        <v>58</v>
      </c>
      <c r="B13" s="6">
        <v>266</v>
      </c>
      <c r="C13" s="7" t="str" cm="1">
        <f t="array" ref="C13">_xlfn.IFS(B13 &lt;= 567, "Cheap", B13 &lt;= 1033, "Medium", TRUE, "Higher")</f>
        <v>Cheap</v>
      </c>
      <c r="E13" s="49"/>
      <c r="F13" s="7">
        <v>9</v>
      </c>
      <c r="G13" s="7">
        <f t="shared" si="2"/>
        <v>465</v>
      </c>
      <c r="H13" s="7">
        <f t="shared" si="0"/>
        <v>514.5</v>
      </c>
      <c r="I13" s="7">
        <v>23</v>
      </c>
      <c r="J13" s="10">
        <f t="shared" si="3"/>
        <v>0.90170940170940161</v>
      </c>
      <c r="K13" s="7">
        <f t="shared" si="1"/>
        <v>11275</v>
      </c>
      <c r="L13" s="10">
        <f t="shared" si="4"/>
        <v>0.83628306878306879</v>
      </c>
      <c r="O13" s="4" t="s">
        <v>1059</v>
      </c>
      <c r="P13" s="4">
        <v>104404</v>
      </c>
    </row>
    <row r="14" spans="1:23" x14ac:dyDescent="0.25">
      <c r="A14" s="5" t="s">
        <v>58</v>
      </c>
      <c r="B14" s="6">
        <v>275</v>
      </c>
      <c r="C14" s="7" t="str" cm="1">
        <f t="array" ref="C14">_xlfn.IFS(B14 &lt;= 567, "Cheap", B14 &lt;= 1033, "Medium", TRUE, "Higher")</f>
        <v>Cheap</v>
      </c>
      <c r="E14" s="49"/>
      <c r="F14" s="7">
        <v>10</v>
      </c>
      <c r="G14" s="7">
        <f t="shared" si="2"/>
        <v>514.5</v>
      </c>
      <c r="H14" s="7">
        <f>MAX(O23:O256)</f>
        <v>567</v>
      </c>
      <c r="I14" s="7">
        <v>23</v>
      </c>
      <c r="J14" s="10">
        <f t="shared" si="3"/>
        <v>0.99999999999999989</v>
      </c>
      <c r="K14" s="7">
        <f t="shared" si="1"/>
        <v>12377</v>
      </c>
      <c r="L14" s="10">
        <f t="shared" si="4"/>
        <v>1</v>
      </c>
      <c r="O14" s="4" t="s">
        <v>1055</v>
      </c>
      <c r="P14" s="4">
        <v>813478</v>
      </c>
      <c r="S14" s="12"/>
      <c r="T14" s="12"/>
      <c r="U14" s="12"/>
      <c r="V14" s="12"/>
      <c r="W14" s="12"/>
    </row>
    <row r="15" spans="1:23" x14ac:dyDescent="0.25">
      <c r="A15" s="5" t="s">
        <v>58</v>
      </c>
      <c r="B15" s="6">
        <v>335</v>
      </c>
      <c r="C15" s="7" t="str" cm="1">
        <f t="array" ref="C15">_xlfn.IFS(B15 &lt;= 567, "Cheap", B15 &lt;= 1033, "Medium", TRUE, "Higher")</f>
        <v>Cheap</v>
      </c>
      <c r="E15" s="49"/>
      <c r="F15" s="7"/>
      <c r="G15" s="7"/>
      <c r="H15" s="7" t="s">
        <v>56</v>
      </c>
      <c r="I15" s="13">
        <f>SUM(_xlfn.ANCHORARRAY(I5))</f>
        <v>234</v>
      </c>
      <c r="J15" s="7"/>
      <c r="K15" s="13">
        <f>SUM(K5:K14)</f>
        <v>75600</v>
      </c>
      <c r="L15" s="7"/>
      <c r="R15" s="12"/>
      <c r="V15" s="14"/>
      <c r="W15" s="14"/>
    </row>
    <row r="16" spans="1:23" x14ac:dyDescent="0.25">
      <c r="A16" s="5" t="s">
        <v>58</v>
      </c>
      <c r="B16" s="6">
        <v>336</v>
      </c>
      <c r="C16" s="7" t="str" cm="1">
        <f t="array" ref="C16">_xlfn.IFS(B16 &lt;= 567, "Cheap", B16 &lt;= 1033, "Medium", TRUE, "Higher")</f>
        <v>Cheap</v>
      </c>
      <c r="O16" s="11" t="s">
        <v>1056</v>
      </c>
      <c r="P16" s="11" t="s">
        <v>2</v>
      </c>
      <c r="R16" s="12"/>
      <c r="V16" s="14"/>
      <c r="W16" s="14"/>
    </row>
    <row r="17" spans="1:23" x14ac:dyDescent="0.25">
      <c r="A17" s="5" t="s">
        <v>58</v>
      </c>
      <c r="B17" s="6">
        <v>336</v>
      </c>
      <c r="C17" s="7" t="str" cm="1">
        <f t="array" ref="C17">_xlfn.IFS(B17 &lt;= 567, "Cheap", B17 &lt;= 1033, "Medium", TRUE, "Higher")</f>
        <v>Cheap</v>
      </c>
      <c r="O17" s="4" t="s">
        <v>1059</v>
      </c>
      <c r="R17" s="12"/>
      <c r="V17" s="14"/>
      <c r="W17" s="14"/>
    </row>
    <row r="18" spans="1:23" x14ac:dyDescent="0.25">
      <c r="A18" s="5" t="s">
        <v>58</v>
      </c>
      <c r="B18" s="6">
        <v>348</v>
      </c>
      <c r="C18" s="7" t="str" cm="1">
        <f t="array" ref="C18">_xlfn.IFS(B18 &lt;= 567, "Cheap", B18 &lt;= 1033, "Medium", TRUE, "Higher")</f>
        <v>Cheap</v>
      </c>
      <c r="E18" s="49" t="s">
        <v>1068</v>
      </c>
      <c r="F18" s="9" t="s">
        <v>1060</v>
      </c>
      <c r="G18" s="50" t="s">
        <v>36</v>
      </c>
      <c r="H18" s="51"/>
      <c r="I18" s="9" t="s">
        <v>1061</v>
      </c>
      <c r="J18" s="9" t="s">
        <v>40</v>
      </c>
      <c r="K18" s="9" t="s">
        <v>42</v>
      </c>
      <c r="L18" s="9" t="s">
        <v>45</v>
      </c>
      <c r="O18" s="4" t="s">
        <v>1069</v>
      </c>
      <c r="R18" s="12"/>
      <c r="V18" s="14"/>
      <c r="W18" s="14"/>
    </row>
    <row r="19" spans="1:23" x14ac:dyDescent="0.25">
      <c r="A19" s="5" t="s">
        <v>58</v>
      </c>
      <c r="B19" s="6">
        <v>356</v>
      </c>
      <c r="C19" s="7" t="str" cm="1">
        <f t="array" ref="C19">_xlfn.IFS(B19 &lt;= 567, "Cheap", B19 &lt;= 1033, "Medium", TRUE, "Higher")</f>
        <v>Cheap</v>
      </c>
      <c r="E19" s="49"/>
      <c r="F19" s="7">
        <v>1</v>
      </c>
      <c r="G19" s="7">
        <f>MIN(P23:P253)</f>
        <v>568</v>
      </c>
      <c r="H19" s="7">
        <f t="shared" ref="H19:H27" si="5">_xlfn.PERCENTILE.EXC($P$23:$P$253, F19/10)</f>
        <v>627.20000000000005</v>
      </c>
      <c r="I19" s="7" cm="1">
        <f t="array" ref="I19:I28">INDEX(FREQUENCY($P$23:$P$253,H19:H28), _xlfn.SEQUENCE(10))</f>
        <v>23</v>
      </c>
      <c r="J19" s="10">
        <f>I19/I29</f>
        <v>9.9567099567099568E-2</v>
      </c>
      <c r="K19" s="7">
        <f>SUMIFS($P$23:$P$253, $P$23:$P$253, "&gt;="&amp;G19, $P$23:$P$253, "&lt;="&amp;H19)</f>
        <v>13785</v>
      </c>
      <c r="L19" s="10">
        <f>K19/K29</f>
        <v>7.4687515238203592E-2</v>
      </c>
      <c r="O19" s="4" t="s">
        <v>1068</v>
      </c>
      <c r="R19" s="12"/>
      <c r="V19" s="14"/>
      <c r="W19" s="14"/>
    </row>
    <row r="20" spans="1:23" x14ac:dyDescent="0.25">
      <c r="A20" s="5" t="s">
        <v>58</v>
      </c>
      <c r="B20" s="6">
        <v>367</v>
      </c>
      <c r="C20" s="7" t="str" cm="1">
        <f t="array" ref="C20">_xlfn.IFS(B20 &lt;= 567, "Cheap", B20 &lt;= 1033, "Medium", TRUE, "Higher")</f>
        <v>Cheap</v>
      </c>
      <c r="E20" s="49"/>
      <c r="F20" s="7">
        <v>2</v>
      </c>
      <c r="G20" s="7">
        <f>H19</f>
        <v>627.20000000000005</v>
      </c>
      <c r="H20" s="7">
        <f t="shared" si="5"/>
        <v>657.4</v>
      </c>
      <c r="I20" s="7">
        <v>23</v>
      </c>
      <c r="J20" s="10">
        <f>J19+I20/$I$29</f>
        <v>0.19913419913419914</v>
      </c>
      <c r="K20" s="7">
        <f t="shared" ref="K20:K28" si="6">SUMIFS($P$23:$P$253, $P$23:$P$253, "&gt;"&amp;G20, $P$23:$P$253, "&lt;="&amp;H20)</f>
        <v>14781</v>
      </c>
      <c r="L20" s="10">
        <f>L19+K20/$K$29</f>
        <v>0.15477138631081058</v>
      </c>
      <c r="O20" s="4" t="s">
        <v>1055</v>
      </c>
      <c r="R20" s="12"/>
      <c r="V20" s="14"/>
      <c r="W20" s="14"/>
    </row>
    <row r="21" spans="1:23" x14ac:dyDescent="0.25">
      <c r="A21" s="5" t="s">
        <v>58</v>
      </c>
      <c r="B21" s="6">
        <v>377</v>
      </c>
      <c r="C21" s="7" t="str" cm="1">
        <f t="array" ref="C21">_xlfn.IFS(B21 &lt;= 567, "Cheap", B21 &lt;= 1033, "Medium", TRUE, "Higher")</f>
        <v>Cheap</v>
      </c>
      <c r="E21" s="49"/>
      <c r="F21" s="7">
        <v>3</v>
      </c>
      <c r="G21" s="7">
        <f t="shared" ref="G21:G28" si="7">H20</f>
        <v>657.4</v>
      </c>
      <c r="H21" s="7">
        <f t="shared" si="5"/>
        <v>702.6</v>
      </c>
      <c r="I21" s="7">
        <v>23</v>
      </c>
      <c r="J21" s="10">
        <f t="shared" ref="J21:J28" si="8">J20+I21/$I$29</f>
        <v>0.29870129870129869</v>
      </c>
      <c r="K21" s="7">
        <f t="shared" si="6"/>
        <v>15634</v>
      </c>
      <c r="L21" s="10">
        <f t="shared" ref="L21:L28" si="9">L20+K21/$K$29</f>
        <v>0.23947683522151608</v>
      </c>
      <c r="R21" s="12"/>
      <c r="V21" s="14"/>
      <c r="W21" s="14"/>
    </row>
    <row r="22" spans="1:23" x14ac:dyDescent="0.25">
      <c r="A22" s="5" t="s">
        <v>58</v>
      </c>
      <c r="B22" s="6">
        <v>383</v>
      </c>
      <c r="C22" s="7" t="str" cm="1">
        <f t="array" ref="C22">_xlfn.IFS(B22 &lt;= 567, "Cheap", B22 &lt;= 1033, "Medium", TRUE, "Higher")</f>
        <v>Cheap</v>
      </c>
      <c r="E22" s="49"/>
      <c r="F22" s="7">
        <v>4</v>
      </c>
      <c r="G22" s="7">
        <f t="shared" si="7"/>
        <v>702.6</v>
      </c>
      <c r="H22" s="7">
        <f t="shared" si="5"/>
        <v>752.8</v>
      </c>
      <c r="I22" s="7">
        <v>23</v>
      </c>
      <c r="J22" s="10">
        <f t="shared" si="8"/>
        <v>0.39826839826839827</v>
      </c>
      <c r="K22" s="7">
        <f t="shared" si="6"/>
        <v>16660</v>
      </c>
      <c r="L22" s="10">
        <f t="shared" si="9"/>
        <v>0.32974118080501058</v>
      </c>
      <c r="O22" s="8" t="s">
        <v>1059</v>
      </c>
      <c r="P22" s="8" t="s">
        <v>1068</v>
      </c>
      <c r="Q22" s="8" t="s">
        <v>1067</v>
      </c>
      <c r="R22" s="12"/>
      <c r="V22" s="14"/>
      <c r="W22" s="14"/>
    </row>
    <row r="23" spans="1:23" x14ac:dyDescent="0.25">
      <c r="A23" s="5" t="s">
        <v>58</v>
      </c>
      <c r="B23" s="6">
        <v>405</v>
      </c>
      <c r="C23" s="7" t="str" cm="1">
        <f t="array" ref="C23">_xlfn.IFS(B23 &lt;= 567, "Cheap", B23 &lt;= 1033, "Medium", TRUE, "Higher")</f>
        <v>Cheap</v>
      </c>
      <c r="E23" s="49"/>
      <c r="F23" s="7">
        <v>5</v>
      </c>
      <c r="G23" s="7">
        <f t="shared" si="7"/>
        <v>752.8</v>
      </c>
      <c r="H23" s="7">
        <f t="shared" si="5"/>
        <v>799</v>
      </c>
      <c r="I23" s="7">
        <v>24</v>
      </c>
      <c r="J23" s="10">
        <f t="shared" si="8"/>
        <v>0.50216450216450215</v>
      </c>
      <c r="K23" s="7">
        <f t="shared" si="6"/>
        <v>18665</v>
      </c>
      <c r="L23" s="10">
        <f t="shared" si="9"/>
        <v>0.43086867242061233</v>
      </c>
      <c r="O23" s="7">
        <v>101</v>
      </c>
      <c r="P23" s="7">
        <v>568</v>
      </c>
      <c r="Q23" s="7">
        <v>1034</v>
      </c>
      <c r="R23" s="12"/>
      <c r="V23" s="14"/>
      <c r="W23" s="14"/>
    </row>
    <row r="24" spans="1:23" x14ac:dyDescent="0.25">
      <c r="A24" s="5" t="s">
        <v>58</v>
      </c>
      <c r="B24" s="6">
        <v>436</v>
      </c>
      <c r="C24" s="7" t="str" cm="1">
        <f t="array" ref="C24">_xlfn.IFS(B24 &lt;= 567, "Cheap", B24 &lt;= 1033, "Medium", TRUE, "Higher")</f>
        <v>Cheap</v>
      </c>
      <c r="E24" s="49"/>
      <c r="F24" s="7">
        <v>6</v>
      </c>
      <c r="G24" s="7">
        <f t="shared" si="7"/>
        <v>799</v>
      </c>
      <c r="H24" s="7">
        <f t="shared" si="5"/>
        <v>841</v>
      </c>
      <c r="I24" s="7">
        <v>23</v>
      </c>
      <c r="J24" s="10">
        <f t="shared" si="8"/>
        <v>0.60173160173160167</v>
      </c>
      <c r="K24" s="7">
        <f t="shared" si="6"/>
        <v>18884</v>
      </c>
      <c r="L24" s="10">
        <f t="shared" si="9"/>
        <v>0.53318271215642932</v>
      </c>
      <c r="O24" s="7">
        <v>102</v>
      </c>
      <c r="P24" s="7">
        <v>573</v>
      </c>
      <c r="Q24" s="7">
        <v>1038</v>
      </c>
      <c r="R24" s="12"/>
    </row>
    <row r="25" spans="1:23" x14ac:dyDescent="0.25">
      <c r="A25" s="5" t="s">
        <v>58</v>
      </c>
      <c r="B25" s="6">
        <v>442</v>
      </c>
      <c r="C25" s="7" t="str" cm="1">
        <f t="array" ref="C25">_xlfn.IFS(B25 &lt;= 567, "Cheap", B25 &lt;= 1033, "Medium", TRUE, "Higher")</f>
        <v>Cheap</v>
      </c>
      <c r="E25" s="49"/>
      <c r="F25" s="7">
        <v>7</v>
      </c>
      <c r="G25" s="7">
        <f t="shared" si="7"/>
        <v>841</v>
      </c>
      <c r="H25" s="7">
        <f t="shared" si="5"/>
        <v>889.4</v>
      </c>
      <c r="I25" s="7">
        <v>23</v>
      </c>
      <c r="J25" s="10">
        <f t="shared" si="8"/>
        <v>0.7012987012987012</v>
      </c>
      <c r="K25" s="7">
        <f t="shared" si="6"/>
        <v>19968</v>
      </c>
      <c r="L25" s="10">
        <f t="shared" si="9"/>
        <v>0.64136989418591428</v>
      </c>
      <c r="O25" s="7">
        <v>105</v>
      </c>
      <c r="P25" s="7">
        <v>577</v>
      </c>
      <c r="Q25" s="7">
        <v>1039</v>
      </c>
    </row>
    <row r="26" spans="1:23" x14ac:dyDescent="0.25">
      <c r="A26" s="5" t="s">
        <v>58</v>
      </c>
      <c r="B26" s="6">
        <v>445</v>
      </c>
      <c r="C26" s="7" t="str" cm="1">
        <f t="array" ref="C26">_xlfn.IFS(B26 &lt;= 567, "Cheap", B26 &lt;= 1033, "Medium", TRUE, "Higher")</f>
        <v>Cheap</v>
      </c>
      <c r="E26" s="49"/>
      <c r="F26" s="7">
        <v>8</v>
      </c>
      <c r="G26" s="7">
        <f t="shared" si="7"/>
        <v>889.4</v>
      </c>
      <c r="H26" s="7">
        <f t="shared" si="5"/>
        <v>931.80000000000007</v>
      </c>
      <c r="I26" s="7">
        <v>23</v>
      </c>
      <c r="J26" s="10">
        <f t="shared" si="8"/>
        <v>0.80086580086580073</v>
      </c>
      <c r="K26" s="7">
        <f t="shared" si="6"/>
        <v>20924</v>
      </c>
      <c r="L26" s="10">
        <f t="shared" si="9"/>
        <v>0.75473671093195505</v>
      </c>
      <c r="O26" s="7">
        <v>107</v>
      </c>
      <c r="P26" s="7">
        <v>579</v>
      </c>
      <c r="Q26" s="7">
        <v>1040</v>
      </c>
    </row>
    <row r="27" spans="1:23" x14ac:dyDescent="0.25">
      <c r="A27" s="5" t="s">
        <v>58</v>
      </c>
      <c r="B27" s="6">
        <v>479</v>
      </c>
      <c r="C27" s="7" t="str" cm="1">
        <f t="array" ref="C27">_xlfn.IFS(B27 &lt;= 567, "Cheap", B27 &lt;= 1033, "Medium", TRUE, "Higher")</f>
        <v>Cheap</v>
      </c>
      <c r="E27" s="49"/>
      <c r="F27" s="7">
        <v>9</v>
      </c>
      <c r="G27" s="7">
        <f t="shared" si="7"/>
        <v>931.80000000000007</v>
      </c>
      <c r="H27" s="7">
        <f t="shared" si="5"/>
        <v>985.6</v>
      </c>
      <c r="I27" s="7">
        <v>23</v>
      </c>
      <c r="J27" s="10">
        <f t="shared" si="8"/>
        <v>0.90043290043290025</v>
      </c>
      <c r="K27" s="7">
        <f t="shared" si="6"/>
        <v>22083</v>
      </c>
      <c r="L27" s="10">
        <f t="shared" si="9"/>
        <v>0.87438302206762786</v>
      </c>
      <c r="O27" s="7">
        <v>109</v>
      </c>
      <c r="P27" s="7">
        <v>581</v>
      </c>
      <c r="Q27" s="7">
        <v>1042</v>
      </c>
    </row>
    <row r="28" spans="1:23" x14ac:dyDescent="0.25">
      <c r="A28" s="5" t="s">
        <v>58</v>
      </c>
      <c r="B28" s="6">
        <v>492</v>
      </c>
      <c r="C28" s="7" t="str" cm="1">
        <f t="array" ref="C28">_xlfn.IFS(B28 &lt;= 567, "Cheap", B28 &lt;= 1033, "Medium", TRUE, "Higher")</f>
        <v>Cheap</v>
      </c>
      <c r="E28" s="49"/>
      <c r="F28" s="7">
        <v>10</v>
      </c>
      <c r="G28" s="7">
        <f t="shared" si="7"/>
        <v>985.6</v>
      </c>
      <c r="H28" s="7">
        <f>MAX(P23:P253)</f>
        <v>1033</v>
      </c>
      <c r="I28" s="7">
        <v>23</v>
      </c>
      <c r="J28" s="10">
        <f t="shared" si="8"/>
        <v>0.99999999999999978</v>
      </c>
      <c r="K28" s="7">
        <f t="shared" si="6"/>
        <v>23185</v>
      </c>
      <c r="L28" s="10">
        <f t="shared" si="9"/>
        <v>1</v>
      </c>
      <c r="O28" s="7">
        <v>110</v>
      </c>
      <c r="P28" s="7">
        <v>582</v>
      </c>
      <c r="Q28" s="7">
        <v>1043</v>
      </c>
    </row>
    <row r="29" spans="1:23" x14ac:dyDescent="0.25">
      <c r="A29" s="5" t="s">
        <v>58</v>
      </c>
      <c r="B29" s="6">
        <v>497</v>
      </c>
      <c r="C29" s="7" t="str" cm="1">
        <f t="array" ref="C29">_xlfn.IFS(B29 &lt;= 567, "Cheap", B29 &lt;= 1033, "Medium", TRUE, "Higher")</f>
        <v>Cheap</v>
      </c>
      <c r="E29" s="49"/>
      <c r="F29" s="7"/>
      <c r="G29" s="7"/>
      <c r="H29" s="7" t="s">
        <v>56</v>
      </c>
      <c r="I29" s="13">
        <f>SUM(_xlfn.ANCHORARRAY(I19))</f>
        <v>231</v>
      </c>
      <c r="J29" s="7"/>
      <c r="K29" s="13">
        <f>SUM(K19:K28)</f>
        <v>184569</v>
      </c>
      <c r="L29" s="7"/>
      <c r="O29" s="7">
        <v>111</v>
      </c>
      <c r="P29" s="7">
        <v>584</v>
      </c>
      <c r="Q29" s="7">
        <v>1044</v>
      </c>
    </row>
    <row r="30" spans="1:23" x14ac:dyDescent="0.25">
      <c r="A30" s="5" t="s">
        <v>58</v>
      </c>
      <c r="B30" s="6">
        <v>506</v>
      </c>
      <c r="C30" s="7" t="str" cm="1">
        <f t="array" ref="C30">_xlfn.IFS(B30 &lt;= 567, "Cheap", B30 &lt;= 1033, "Medium", TRUE, "Higher")</f>
        <v>Cheap</v>
      </c>
      <c r="O30" s="7">
        <v>112</v>
      </c>
      <c r="P30" s="7">
        <v>585</v>
      </c>
      <c r="Q30" s="7">
        <v>1045</v>
      </c>
    </row>
    <row r="31" spans="1:23" x14ac:dyDescent="0.25">
      <c r="A31" s="5" t="s">
        <v>58</v>
      </c>
      <c r="B31" s="6">
        <v>528</v>
      </c>
      <c r="C31" s="7" t="str" cm="1">
        <f t="array" ref="C31">_xlfn.IFS(B31 &lt;= 567, "Cheap", B31 &lt;= 1033, "Medium", TRUE, "Higher")</f>
        <v>Cheap</v>
      </c>
      <c r="O31" s="7">
        <v>118</v>
      </c>
      <c r="P31" s="7">
        <v>586</v>
      </c>
      <c r="Q31" s="7">
        <v>1047</v>
      </c>
    </row>
    <row r="32" spans="1:23" x14ac:dyDescent="0.25">
      <c r="A32" s="5" t="s">
        <v>58</v>
      </c>
      <c r="B32" s="6">
        <v>545</v>
      </c>
      <c r="C32" s="7" t="str" cm="1">
        <f t="array" ref="C32">_xlfn.IFS(B32 &lt;= 567, "Cheap", B32 &lt;= 1033, "Medium", TRUE, "Higher")</f>
        <v>Cheap</v>
      </c>
      <c r="E32" s="49" t="s">
        <v>1067</v>
      </c>
      <c r="F32" s="9" t="s">
        <v>1060</v>
      </c>
      <c r="G32" s="50" t="s">
        <v>36</v>
      </c>
      <c r="H32" s="51"/>
      <c r="I32" s="9" t="s">
        <v>1061</v>
      </c>
      <c r="J32" s="9" t="s">
        <v>40</v>
      </c>
      <c r="K32" s="9" t="s">
        <v>42</v>
      </c>
      <c r="L32" s="9" t="s">
        <v>45</v>
      </c>
      <c r="O32" s="7">
        <v>119</v>
      </c>
      <c r="P32" s="7">
        <v>596</v>
      </c>
      <c r="Q32" s="7">
        <v>1048</v>
      </c>
    </row>
    <row r="33" spans="1:17" x14ac:dyDescent="0.25">
      <c r="A33" s="5" t="s">
        <v>52</v>
      </c>
      <c r="B33" s="6">
        <v>121</v>
      </c>
      <c r="C33" s="7" t="str" cm="1">
        <f t="array" ref="C33">_xlfn.IFS(B33 &lt;= 567, "Cheap", B33 &lt;= 1033, "Medium", TRUE, "Higher")</f>
        <v>Cheap</v>
      </c>
      <c r="E33" s="49"/>
      <c r="F33" s="7">
        <v>1</v>
      </c>
      <c r="G33" s="7">
        <f>MIN(Q23:Q280)</f>
        <v>1034</v>
      </c>
      <c r="H33" s="7">
        <f t="shared" ref="H33:H41" si="10">_xlfn.PERCENTILE.EXC($Q$23:$Q$280, F33/10)</f>
        <v>1071.7</v>
      </c>
      <c r="I33" s="7" cm="1">
        <f t="array" ref="I33:I42">INDEX(FREQUENCY($Q$23:$Q$280,H33:H42), _xlfn.SEQUENCE(10))</f>
        <v>25</v>
      </c>
      <c r="J33" s="10">
        <f>I33/I43</f>
        <v>9.6899224806201556E-2</v>
      </c>
      <c r="K33" s="7">
        <f>SUMIFS($Q$23:$Q$280, $Q$23:$Q$280, "&gt;="&amp;G33, $Q$23:$Q$280, "&lt;="&amp;H33)</f>
        <v>26314</v>
      </c>
      <c r="L33" s="10">
        <f>K33/K43</f>
        <v>8.0646545383219734E-2</v>
      </c>
      <c r="O33" s="7">
        <v>121</v>
      </c>
      <c r="P33" s="7">
        <v>600</v>
      </c>
      <c r="Q33" s="7">
        <v>1049</v>
      </c>
    </row>
    <row r="34" spans="1:17" x14ac:dyDescent="0.25">
      <c r="A34" s="5" t="s">
        <v>52</v>
      </c>
      <c r="B34" s="6">
        <v>121</v>
      </c>
      <c r="C34" s="7" t="str" cm="1">
        <f t="array" ref="C34">_xlfn.IFS(B34 &lt;= 567, "Cheap", B34 &lt;= 1033, "Medium", TRUE, "Higher")</f>
        <v>Cheap</v>
      </c>
      <c r="E34" s="49"/>
      <c r="F34" s="7">
        <v>2</v>
      </c>
      <c r="G34" s="7">
        <f>H33</f>
        <v>1071.7</v>
      </c>
      <c r="H34" s="7">
        <f t="shared" si="10"/>
        <v>1120.5999999999999</v>
      </c>
      <c r="I34" s="7">
        <v>26</v>
      </c>
      <c r="J34" s="10">
        <f>J33+I34/$I$43</f>
        <v>0.19767441860465118</v>
      </c>
      <c r="K34" s="7">
        <f t="shared" ref="K34:K42" si="11">SUMIFS($Q$23:$Q$280, $Q$23:$Q$280, "&gt;"&amp;G34, $Q$23:$Q$280, "&lt;="&amp;H34)</f>
        <v>28421</v>
      </c>
      <c r="L34" s="10">
        <f>L33+K34/$K$43</f>
        <v>0.16775057617810032</v>
      </c>
      <c r="O34" s="7">
        <v>122</v>
      </c>
      <c r="P34" s="7">
        <v>602</v>
      </c>
      <c r="Q34" s="7">
        <v>1050</v>
      </c>
    </row>
    <row r="35" spans="1:17" x14ac:dyDescent="0.25">
      <c r="A35" s="5" t="s">
        <v>52</v>
      </c>
      <c r="B35" s="6">
        <v>122</v>
      </c>
      <c r="C35" s="7" t="str" cm="1">
        <f t="array" ref="C35">_xlfn.IFS(B35 &lt;= 567, "Cheap", B35 &lt;= 1033, "Medium", TRUE, "Higher")</f>
        <v>Cheap</v>
      </c>
      <c r="E35" s="49"/>
      <c r="F35" s="7">
        <v>3</v>
      </c>
      <c r="G35" s="7">
        <f t="shared" ref="G35:G42" si="12">H34</f>
        <v>1120.5999999999999</v>
      </c>
      <c r="H35" s="7">
        <f t="shared" si="10"/>
        <v>1166.7</v>
      </c>
      <c r="I35" s="7">
        <v>26</v>
      </c>
      <c r="J35" s="10">
        <f t="shared" ref="J35:J42" si="13">J34+I35/$I$43</f>
        <v>0.29844961240310081</v>
      </c>
      <c r="K35" s="7">
        <f t="shared" si="11"/>
        <v>29734</v>
      </c>
      <c r="L35" s="10">
        <f t="shared" ref="L35:L42" si="14">L34+K35/$K$43</f>
        <v>0.25887865934389254</v>
      </c>
      <c r="O35" s="7">
        <v>126</v>
      </c>
      <c r="P35" s="7">
        <v>604</v>
      </c>
      <c r="Q35" s="7">
        <v>1052</v>
      </c>
    </row>
    <row r="36" spans="1:17" x14ac:dyDescent="0.25">
      <c r="A36" s="5" t="s">
        <v>52</v>
      </c>
      <c r="B36" s="6">
        <v>131</v>
      </c>
      <c r="C36" s="7" t="str" cm="1">
        <f t="array" ref="C36">_xlfn.IFS(B36 &lt;= 567, "Cheap", B36 &lt;= 1033, "Medium", TRUE, "Higher")</f>
        <v>Cheap</v>
      </c>
      <c r="E36" s="49"/>
      <c r="F36" s="7">
        <v>4</v>
      </c>
      <c r="G36" s="7">
        <f t="shared" si="12"/>
        <v>1166.7</v>
      </c>
      <c r="H36" s="7">
        <f t="shared" si="10"/>
        <v>1222.5999999999999</v>
      </c>
      <c r="I36" s="7">
        <v>26</v>
      </c>
      <c r="J36" s="10">
        <f t="shared" si="13"/>
        <v>0.39922480620155043</v>
      </c>
      <c r="K36" s="7">
        <f t="shared" si="11"/>
        <v>31091</v>
      </c>
      <c r="L36" s="10">
        <f t="shared" si="14"/>
        <v>0.35416564507429021</v>
      </c>
      <c r="O36" s="7">
        <v>127</v>
      </c>
      <c r="P36" s="7">
        <v>607</v>
      </c>
      <c r="Q36" s="7">
        <v>1053</v>
      </c>
    </row>
    <row r="37" spans="1:17" x14ac:dyDescent="0.25">
      <c r="A37" s="5" t="s">
        <v>52</v>
      </c>
      <c r="B37" s="6">
        <v>134</v>
      </c>
      <c r="C37" s="7" t="str" cm="1">
        <f t="array" ref="C37">_xlfn.IFS(B37 &lt;= 567, "Cheap", B37 &lt;= 1033, "Medium", TRUE, "Higher")</f>
        <v>Cheap</v>
      </c>
      <c r="E37" s="49"/>
      <c r="F37" s="7">
        <v>5</v>
      </c>
      <c r="G37" s="7">
        <f t="shared" si="12"/>
        <v>1222.5999999999999</v>
      </c>
      <c r="H37" s="7">
        <f t="shared" si="10"/>
        <v>1272</v>
      </c>
      <c r="I37" s="7">
        <v>26</v>
      </c>
      <c r="J37" s="10">
        <f t="shared" si="13"/>
        <v>0.5</v>
      </c>
      <c r="K37" s="7">
        <f t="shared" si="11"/>
        <v>32368</v>
      </c>
      <c r="L37" s="10">
        <f t="shared" si="14"/>
        <v>0.45336635119894081</v>
      </c>
      <c r="O37" s="7">
        <v>128</v>
      </c>
      <c r="P37" s="7">
        <v>609</v>
      </c>
      <c r="Q37" s="7">
        <v>1057</v>
      </c>
    </row>
    <row r="38" spans="1:17" x14ac:dyDescent="0.25">
      <c r="A38" s="5" t="s">
        <v>52</v>
      </c>
      <c r="B38" s="6">
        <v>138</v>
      </c>
      <c r="C38" s="7" t="str" cm="1">
        <f t="array" ref="C38">_xlfn.IFS(B38 &lt;= 567, "Cheap", B38 &lt;= 1033, "Medium", TRUE, "Higher")</f>
        <v>Cheap</v>
      </c>
      <c r="E38" s="49"/>
      <c r="F38" s="7">
        <v>6</v>
      </c>
      <c r="G38" s="7">
        <f t="shared" si="12"/>
        <v>1272</v>
      </c>
      <c r="H38" s="7">
        <f t="shared" si="10"/>
        <v>1315.4</v>
      </c>
      <c r="I38" s="7">
        <v>26</v>
      </c>
      <c r="J38" s="10">
        <f t="shared" si="13"/>
        <v>0.60077519379844957</v>
      </c>
      <c r="K38" s="7">
        <f t="shared" si="11"/>
        <v>33529</v>
      </c>
      <c r="L38" s="10">
        <f t="shared" si="14"/>
        <v>0.55612526357083314</v>
      </c>
      <c r="O38" s="7">
        <v>130</v>
      </c>
      <c r="P38" s="7">
        <v>610</v>
      </c>
      <c r="Q38" s="7">
        <v>1058</v>
      </c>
    </row>
    <row r="39" spans="1:17" x14ac:dyDescent="0.25">
      <c r="A39" s="5" t="s">
        <v>52</v>
      </c>
      <c r="B39" s="6">
        <v>141</v>
      </c>
      <c r="C39" s="7" t="str" cm="1">
        <f t="array" ref="C39">_xlfn.IFS(B39 &lt;= 567, "Cheap", B39 &lt;= 1033, "Medium", TRUE, "Higher")</f>
        <v>Cheap</v>
      </c>
      <c r="E39" s="49"/>
      <c r="F39" s="7">
        <v>7</v>
      </c>
      <c r="G39" s="7">
        <f t="shared" si="12"/>
        <v>1315.4</v>
      </c>
      <c r="H39" s="7">
        <f t="shared" si="10"/>
        <v>1357.8999999999999</v>
      </c>
      <c r="I39" s="7">
        <v>26</v>
      </c>
      <c r="J39" s="10">
        <f t="shared" si="13"/>
        <v>0.70155038759689914</v>
      </c>
      <c r="K39" s="7">
        <f t="shared" si="11"/>
        <v>34765</v>
      </c>
      <c r="L39" s="10">
        <f t="shared" si="14"/>
        <v>0.66267224047467266</v>
      </c>
      <c r="O39" s="7">
        <v>131</v>
      </c>
      <c r="P39" s="7">
        <v>611</v>
      </c>
      <c r="Q39" s="7">
        <v>1059</v>
      </c>
    </row>
    <row r="40" spans="1:17" x14ac:dyDescent="0.25">
      <c r="A40" s="5" t="s">
        <v>52</v>
      </c>
      <c r="B40" s="6">
        <v>187</v>
      </c>
      <c r="C40" s="7" t="str" cm="1">
        <f t="array" ref="C40">_xlfn.IFS(B40 &lt;= 567, "Cheap", B40 &lt;= 1033, "Medium", TRUE, "Higher")</f>
        <v>Cheap</v>
      </c>
      <c r="E40" s="49"/>
      <c r="F40" s="7">
        <v>8</v>
      </c>
      <c r="G40" s="7">
        <f t="shared" si="12"/>
        <v>1357.8999999999999</v>
      </c>
      <c r="H40" s="7">
        <f t="shared" si="10"/>
        <v>1405.2</v>
      </c>
      <c r="I40" s="7">
        <v>26</v>
      </c>
      <c r="J40" s="10">
        <f t="shared" si="13"/>
        <v>0.80232558139534871</v>
      </c>
      <c r="K40" s="7">
        <f t="shared" si="11"/>
        <v>35970</v>
      </c>
      <c r="L40" s="10">
        <f t="shared" si="14"/>
        <v>0.77291227381944783</v>
      </c>
      <c r="O40" s="7">
        <v>134</v>
      </c>
      <c r="P40" s="7">
        <v>613</v>
      </c>
      <c r="Q40" s="7">
        <v>1060</v>
      </c>
    </row>
    <row r="41" spans="1:17" x14ac:dyDescent="0.25">
      <c r="A41" s="5" t="s">
        <v>52</v>
      </c>
      <c r="B41" s="6">
        <v>188</v>
      </c>
      <c r="C41" s="7" t="str" cm="1">
        <f t="array" ref="C41">_xlfn.IFS(B41 &lt;= 567, "Cheap", B41 &lt;= 1033, "Medium", TRUE, "Higher")</f>
        <v>Cheap</v>
      </c>
      <c r="E41" s="49"/>
      <c r="F41" s="7">
        <v>9</v>
      </c>
      <c r="G41" s="7">
        <f t="shared" si="12"/>
        <v>1405.2</v>
      </c>
      <c r="H41" s="7">
        <f t="shared" si="10"/>
        <v>1451.4</v>
      </c>
      <c r="I41" s="7">
        <v>26</v>
      </c>
      <c r="J41" s="10">
        <f t="shared" si="13"/>
        <v>0.90310077519379828</v>
      </c>
      <c r="K41" s="7">
        <f t="shared" si="11"/>
        <v>37177</v>
      </c>
      <c r="L41" s="10">
        <f t="shared" si="14"/>
        <v>0.88685149315941747</v>
      </c>
      <c r="O41" s="7">
        <v>135</v>
      </c>
      <c r="P41" s="7">
        <v>618</v>
      </c>
      <c r="Q41" s="7">
        <v>1061</v>
      </c>
    </row>
    <row r="42" spans="1:17" x14ac:dyDescent="0.25">
      <c r="A42" s="5" t="s">
        <v>52</v>
      </c>
      <c r="B42" s="6">
        <v>202</v>
      </c>
      <c r="C42" s="7" t="str" cm="1">
        <f t="array" ref="C42">_xlfn.IFS(B42 &lt;= 567, "Cheap", B42 &lt;= 1033, "Medium", TRUE, "Higher")</f>
        <v>Cheap</v>
      </c>
      <c r="E42" s="49"/>
      <c r="F42" s="7">
        <v>10</v>
      </c>
      <c r="G42" s="7">
        <f t="shared" si="12"/>
        <v>1451.4</v>
      </c>
      <c r="H42" s="7">
        <f>MAX(Q23:Q280)</f>
        <v>1499</v>
      </c>
      <c r="I42" s="7">
        <v>25</v>
      </c>
      <c r="J42" s="10">
        <f t="shared" si="13"/>
        <v>0.99999999999999978</v>
      </c>
      <c r="K42" s="7">
        <f t="shared" si="11"/>
        <v>36919</v>
      </c>
      <c r="L42" s="10">
        <f t="shared" si="14"/>
        <v>1</v>
      </c>
      <c r="O42" s="7">
        <v>136</v>
      </c>
      <c r="P42" s="7">
        <v>622</v>
      </c>
      <c r="Q42" s="7">
        <v>1062</v>
      </c>
    </row>
    <row r="43" spans="1:17" x14ac:dyDescent="0.25">
      <c r="A43" s="5" t="s">
        <v>52</v>
      </c>
      <c r="B43" s="6">
        <v>204</v>
      </c>
      <c r="C43" s="7" t="str" cm="1">
        <f t="array" ref="C43">_xlfn.IFS(B43 &lt;= 567, "Cheap", B43 &lt;= 1033, "Medium", TRUE, "Higher")</f>
        <v>Cheap</v>
      </c>
      <c r="E43" s="49"/>
      <c r="F43" s="7"/>
      <c r="G43" s="7"/>
      <c r="H43" s="7" t="s">
        <v>56</v>
      </c>
      <c r="I43" s="13">
        <f>SUM(_xlfn.ANCHORARRAY(I33))</f>
        <v>258</v>
      </c>
      <c r="J43" s="7"/>
      <c r="K43" s="13">
        <f>SUM(K33:K42)</f>
        <v>326288</v>
      </c>
      <c r="L43" s="7"/>
      <c r="O43" s="7">
        <v>137</v>
      </c>
      <c r="P43" s="7">
        <v>625</v>
      </c>
      <c r="Q43" s="7">
        <v>1064</v>
      </c>
    </row>
    <row r="44" spans="1:17" x14ac:dyDescent="0.25">
      <c r="A44" s="5" t="s">
        <v>52</v>
      </c>
      <c r="B44" s="6">
        <v>225</v>
      </c>
      <c r="C44" s="7" t="str" cm="1">
        <f t="array" ref="C44">_xlfn.IFS(B44 &lt;= 567, "Cheap", B44 &lt;= 1033, "Medium", TRUE, "Higher")</f>
        <v>Cheap</v>
      </c>
      <c r="O44" s="7">
        <v>138</v>
      </c>
      <c r="P44" s="7">
        <v>626</v>
      </c>
      <c r="Q44" s="7">
        <v>1065</v>
      </c>
    </row>
    <row r="45" spans="1:17" x14ac:dyDescent="0.25">
      <c r="A45" s="5" t="s">
        <v>52</v>
      </c>
      <c r="B45" s="6">
        <v>227</v>
      </c>
      <c r="C45" s="7" t="str" cm="1">
        <f t="array" ref="C45">_xlfn.IFS(B45 &lt;= 567, "Cheap", B45 &lt;= 1033, "Medium", TRUE, "Higher")</f>
        <v>Cheap</v>
      </c>
      <c r="F45" s="8" t="s">
        <v>40</v>
      </c>
      <c r="G45" s="8" t="s">
        <v>45</v>
      </c>
      <c r="H45" s="8" t="s">
        <v>67</v>
      </c>
      <c r="O45" s="7">
        <v>139</v>
      </c>
      <c r="P45" s="7">
        <v>627</v>
      </c>
      <c r="Q45" s="7">
        <v>1067</v>
      </c>
    </row>
    <row r="46" spans="1:17" x14ac:dyDescent="0.25">
      <c r="A46" s="5" t="s">
        <v>52</v>
      </c>
      <c r="B46" s="6">
        <v>253</v>
      </c>
      <c r="C46" s="7" t="str" cm="1">
        <f t="array" ref="C46">_xlfn.IFS(B46 &lt;= 567, "Cheap", B46 &lt;= 1033, "Medium", TRUE, "Higher")</f>
        <v>Cheap</v>
      </c>
      <c r="F46" s="10">
        <v>0</v>
      </c>
      <c r="G46" s="10">
        <v>0</v>
      </c>
      <c r="H46" s="7"/>
      <c r="O46" s="7">
        <v>141</v>
      </c>
      <c r="P46" s="7">
        <v>628</v>
      </c>
      <c r="Q46" s="7">
        <v>1068</v>
      </c>
    </row>
    <row r="47" spans="1:17" x14ac:dyDescent="0.25">
      <c r="A47" s="5" t="s">
        <v>52</v>
      </c>
      <c r="B47" s="6">
        <v>290</v>
      </c>
      <c r="C47" s="7" t="str" cm="1">
        <f t="array" ref="C47">_xlfn.IFS(B47 &lt;= 567, "Cheap", B47 &lt;= 1033, "Medium", TRUE, "Higher")</f>
        <v>Cheap</v>
      </c>
      <c r="F47" s="10">
        <f t="shared" ref="F47:F56" si="15">J5</f>
        <v>9.8290598290598288E-2</v>
      </c>
      <c r="G47" s="10">
        <f t="shared" ref="G47:G56" si="16">L5</f>
        <v>3.7010582010582008E-2</v>
      </c>
      <c r="H47" s="7">
        <f>(G47+G46)/2*(F47-F46)</f>
        <v>1.8188961244516798E-3</v>
      </c>
      <c r="O47" s="7">
        <v>142</v>
      </c>
      <c r="P47" s="7">
        <v>629</v>
      </c>
      <c r="Q47" s="7">
        <v>1069</v>
      </c>
    </row>
    <row r="48" spans="1:17" x14ac:dyDescent="0.25">
      <c r="A48" s="5" t="s">
        <v>52</v>
      </c>
      <c r="B48" s="6">
        <v>313</v>
      </c>
      <c r="C48" s="7" t="str" cm="1">
        <f t="array" ref="C48">_xlfn.IFS(B48 &lt;= 567, "Cheap", B48 &lt;= 1033, "Medium", TRUE, "Higher")</f>
        <v>Cheap</v>
      </c>
      <c r="F48" s="10">
        <f t="shared" si="15"/>
        <v>0.20085470085470086</v>
      </c>
      <c r="G48" s="10">
        <f t="shared" si="16"/>
        <v>8.9153439153439151E-2</v>
      </c>
      <c r="H48" s="7">
        <f t="shared" ref="H48:H55" si="17">(G48+G47)/2*(F48-F47)</f>
        <v>6.4699498032831362E-3</v>
      </c>
      <c r="O48" s="7">
        <v>147</v>
      </c>
      <c r="P48" s="7">
        <v>631</v>
      </c>
      <c r="Q48" s="7">
        <v>1072</v>
      </c>
    </row>
    <row r="49" spans="1:17" x14ac:dyDescent="0.25">
      <c r="A49" s="5" t="s">
        <v>52</v>
      </c>
      <c r="B49" s="6">
        <v>316</v>
      </c>
      <c r="C49" s="7" t="str" cm="1">
        <f t="array" ref="C49">_xlfn.IFS(B49 &lt;= 567, "Cheap", B49 &lt;= 1033, "Medium", TRUE, "Higher")</f>
        <v>Cheap</v>
      </c>
      <c r="F49" s="10">
        <f t="shared" si="15"/>
        <v>0.29914529914529914</v>
      </c>
      <c r="G49" s="10">
        <f t="shared" si="16"/>
        <v>0.15194444444444444</v>
      </c>
      <c r="H49" s="7">
        <f t="shared" si="17"/>
        <v>1.18488276127165E-2</v>
      </c>
      <c r="O49" s="7">
        <v>148</v>
      </c>
      <c r="P49" s="7">
        <v>633</v>
      </c>
      <c r="Q49" s="7">
        <v>1074</v>
      </c>
    </row>
    <row r="50" spans="1:17" x14ac:dyDescent="0.25">
      <c r="A50" s="5" t="s">
        <v>52</v>
      </c>
      <c r="B50" s="6">
        <v>355</v>
      </c>
      <c r="C50" s="7" t="str" cm="1">
        <f t="array" ref="C50">_xlfn.IFS(B50 &lt;= 567, "Cheap", B50 &lt;= 1033, "Medium", TRUE, "Higher")</f>
        <v>Cheap</v>
      </c>
      <c r="F50" s="10">
        <f t="shared" si="15"/>
        <v>0.40170940170940173</v>
      </c>
      <c r="G50" s="10">
        <f t="shared" si="16"/>
        <v>0.23170634920634919</v>
      </c>
      <c r="H50" s="7">
        <f t="shared" si="17"/>
        <v>1.9674399674399677E-2</v>
      </c>
      <c r="O50" s="7">
        <v>151</v>
      </c>
      <c r="P50" s="7">
        <v>634</v>
      </c>
      <c r="Q50" s="7">
        <v>1075</v>
      </c>
    </row>
    <row r="51" spans="1:17" x14ac:dyDescent="0.25">
      <c r="A51" s="5" t="s">
        <v>52</v>
      </c>
      <c r="B51" s="6">
        <v>356</v>
      </c>
      <c r="C51" s="7" t="str" cm="1">
        <f t="array" ref="C51">_xlfn.IFS(B51 &lt;= 567, "Cheap", B51 &lt;= 1033, "Medium", TRUE, "Higher")</f>
        <v>Cheap</v>
      </c>
      <c r="F51" s="10">
        <f t="shared" si="15"/>
        <v>0.5</v>
      </c>
      <c r="G51" s="10">
        <f t="shared" si="16"/>
        <v>0.32126984126984126</v>
      </c>
      <c r="H51" s="7">
        <f t="shared" si="17"/>
        <v>2.7176180301180297E-2</v>
      </c>
      <c r="O51" s="7">
        <v>152</v>
      </c>
      <c r="P51" s="7">
        <v>635</v>
      </c>
      <c r="Q51" s="7">
        <v>1077</v>
      </c>
    </row>
    <row r="52" spans="1:17" x14ac:dyDescent="0.25">
      <c r="A52" s="5" t="s">
        <v>52</v>
      </c>
      <c r="B52" s="6">
        <v>358</v>
      </c>
      <c r="C52" s="7" t="str" cm="1">
        <f t="array" ref="C52">_xlfn.IFS(B52 &lt;= 567, "Cheap", B52 &lt;= 1033, "Medium", TRUE, "Higher")</f>
        <v>Cheap</v>
      </c>
      <c r="F52" s="10">
        <f t="shared" si="15"/>
        <v>0.60256410256410253</v>
      </c>
      <c r="G52" s="10">
        <f t="shared" si="16"/>
        <v>0.42853174603174604</v>
      </c>
      <c r="H52" s="7">
        <f t="shared" si="17"/>
        <v>3.8451363451363442E-2</v>
      </c>
      <c r="O52" s="7">
        <v>154</v>
      </c>
      <c r="P52" s="7">
        <v>636</v>
      </c>
      <c r="Q52" s="7">
        <v>1078</v>
      </c>
    </row>
    <row r="53" spans="1:17" x14ac:dyDescent="0.25">
      <c r="A53" s="5" t="s">
        <v>52</v>
      </c>
      <c r="B53" s="6">
        <v>373</v>
      </c>
      <c r="C53" s="7" t="str" cm="1">
        <f t="array" ref="C53">_xlfn.IFS(B53 &lt;= 567, "Cheap", B53 &lt;= 1033, "Medium", TRUE, "Higher")</f>
        <v>Cheap</v>
      </c>
      <c r="F53" s="10">
        <f t="shared" si="15"/>
        <v>0.70085470085470081</v>
      </c>
      <c r="G53" s="10">
        <f t="shared" si="16"/>
        <v>0.54720899470899476</v>
      </c>
      <c r="H53" s="7">
        <f t="shared" si="17"/>
        <v>4.7953070591959475E-2</v>
      </c>
      <c r="O53" s="7">
        <v>158</v>
      </c>
      <c r="P53" s="7">
        <v>637</v>
      </c>
      <c r="Q53" s="7">
        <v>1079</v>
      </c>
    </row>
    <row r="54" spans="1:17" x14ac:dyDescent="0.25">
      <c r="A54" s="5" t="s">
        <v>52</v>
      </c>
      <c r="B54" s="6">
        <v>383</v>
      </c>
      <c r="C54" s="7" t="str" cm="1">
        <f t="array" ref="C54">_xlfn.IFS(B54 &lt;= 567, "Cheap", B54 &lt;= 1033, "Medium", TRUE, "Higher")</f>
        <v>Cheap</v>
      </c>
      <c r="F54" s="10">
        <f t="shared" si="15"/>
        <v>0.80341880341880334</v>
      </c>
      <c r="G54" s="10">
        <f t="shared" si="16"/>
        <v>0.68714285714285717</v>
      </c>
      <c r="H54" s="7">
        <f t="shared" si="17"/>
        <v>6.3300094966761616E-2</v>
      </c>
      <c r="O54" s="7">
        <v>161</v>
      </c>
      <c r="P54" s="7">
        <v>638</v>
      </c>
      <c r="Q54" s="7">
        <v>1080</v>
      </c>
    </row>
    <row r="55" spans="1:17" x14ac:dyDescent="0.25">
      <c r="A55" s="5" t="s">
        <v>52</v>
      </c>
      <c r="B55" s="6">
        <v>402</v>
      </c>
      <c r="C55" s="7" t="str" cm="1">
        <f t="array" ref="C55">_xlfn.IFS(B55 &lt;= 567, "Cheap", B55 &lt;= 1033, "Medium", TRUE, "Higher")</f>
        <v>Cheap</v>
      </c>
      <c r="F55" s="10">
        <f t="shared" si="15"/>
        <v>0.90170940170940161</v>
      </c>
      <c r="G55" s="10">
        <f t="shared" si="16"/>
        <v>0.83628306878306879</v>
      </c>
      <c r="H55" s="7">
        <f t="shared" si="17"/>
        <v>7.4869222855333956E-2</v>
      </c>
      <c r="O55" s="7">
        <v>163</v>
      </c>
      <c r="P55" s="7">
        <v>639</v>
      </c>
      <c r="Q55" s="7">
        <v>1083</v>
      </c>
    </row>
    <row r="56" spans="1:17" x14ac:dyDescent="0.25">
      <c r="A56" s="5" t="s">
        <v>52</v>
      </c>
      <c r="B56" s="6">
        <v>406</v>
      </c>
      <c r="C56" s="7" t="str" cm="1">
        <f t="array" ref="C56">_xlfn.IFS(B56 &lt;= 567, "Cheap", B56 &lt;= 1033, "Medium", TRUE, "Higher")</f>
        <v>Cheap</v>
      </c>
      <c r="F56" s="10">
        <f t="shared" si="15"/>
        <v>0.99999999999999989</v>
      </c>
      <c r="G56" s="10">
        <f t="shared" si="16"/>
        <v>1</v>
      </c>
      <c r="H56" s="7"/>
      <c r="O56" s="7">
        <v>164</v>
      </c>
      <c r="P56" s="7">
        <v>640</v>
      </c>
      <c r="Q56" s="7">
        <v>1084</v>
      </c>
    </row>
    <row r="57" spans="1:17" x14ac:dyDescent="0.25">
      <c r="A57" s="5" t="s">
        <v>52</v>
      </c>
      <c r="B57" s="6">
        <v>419</v>
      </c>
      <c r="C57" s="7" t="str" cm="1">
        <f t="array" ref="C57">_xlfn.IFS(B57 &lt;= 567, "Cheap", B57 &lt;= 1033, "Medium", TRUE, "Higher")</f>
        <v>Cheap</v>
      </c>
      <c r="F57" s="14"/>
      <c r="O57" s="7">
        <v>165</v>
      </c>
      <c r="P57" s="7">
        <v>642</v>
      </c>
      <c r="Q57" s="7">
        <v>1085</v>
      </c>
    </row>
    <row r="58" spans="1:17" x14ac:dyDescent="0.25">
      <c r="A58" s="5" t="s">
        <v>52</v>
      </c>
      <c r="B58" s="6">
        <v>429</v>
      </c>
      <c r="C58" s="7" t="str" cm="1">
        <f t="array" ref="C58">_xlfn.IFS(B58 &lt;= 567, "Cheap", B58 &lt;= 1033, "Medium", TRUE, "Higher")</f>
        <v>Cheap</v>
      </c>
      <c r="F58" s="8" t="s">
        <v>1070</v>
      </c>
      <c r="G58" s="10">
        <f>1-SUM(H47:H55)/0.5</f>
        <v>0.41687598923710045</v>
      </c>
      <c r="O58" s="7">
        <v>166</v>
      </c>
      <c r="P58" s="7">
        <v>644</v>
      </c>
      <c r="Q58" s="7">
        <v>1087</v>
      </c>
    </row>
    <row r="59" spans="1:17" x14ac:dyDescent="0.25">
      <c r="A59" s="5" t="s">
        <v>52</v>
      </c>
      <c r="B59" s="6">
        <v>445</v>
      </c>
      <c r="C59" s="7" t="str" cm="1">
        <f t="array" ref="C59">_xlfn.IFS(B59 &lt;= 567, "Cheap", B59 &lt;= 1033, "Medium", TRUE, "Higher")</f>
        <v>Cheap</v>
      </c>
      <c r="O59" s="7">
        <v>167</v>
      </c>
      <c r="P59" s="7">
        <v>645</v>
      </c>
      <c r="Q59" s="7">
        <v>1088</v>
      </c>
    </row>
    <row r="60" spans="1:17" x14ac:dyDescent="0.25">
      <c r="A60" s="5" t="s">
        <v>52</v>
      </c>
      <c r="B60" s="6">
        <v>447</v>
      </c>
      <c r="C60" s="7" t="str" cm="1">
        <f t="array" ref="C60">_xlfn.IFS(B60 &lt;= 567, "Cheap", B60 &lt;= 1033, "Medium", TRUE, "Higher")</f>
        <v>Cheap</v>
      </c>
      <c r="O60" s="7">
        <v>168</v>
      </c>
      <c r="P60" s="7">
        <v>646</v>
      </c>
      <c r="Q60" s="7">
        <v>1090</v>
      </c>
    </row>
    <row r="61" spans="1:17" x14ac:dyDescent="0.25">
      <c r="A61" s="5" t="s">
        <v>52</v>
      </c>
      <c r="B61" s="6">
        <v>464</v>
      </c>
      <c r="C61" s="7" t="str" cm="1">
        <f t="array" ref="C61">_xlfn.IFS(B61 &lt;= 567, "Cheap", B61 &lt;= 1033, "Medium", TRUE, "Higher")</f>
        <v>Cheap</v>
      </c>
      <c r="F61" s="8" t="s">
        <v>40</v>
      </c>
      <c r="G61" s="8" t="s">
        <v>45</v>
      </c>
      <c r="H61" s="8" t="s">
        <v>67</v>
      </c>
      <c r="O61" s="7">
        <v>170</v>
      </c>
      <c r="P61" s="7">
        <v>648</v>
      </c>
      <c r="Q61" s="7">
        <v>1093</v>
      </c>
    </row>
    <row r="62" spans="1:17" x14ac:dyDescent="0.25">
      <c r="A62" s="5" t="s">
        <v>52</v>
      </c>
      <c r="B62" s="6">
        <v>469</v>
      </c>
      <c r="C62" s="7" t="str" cm="1">
        <f t="array" ref="C62">_xlfn.IFS(B62 &lt;= 567, "Cheap", B62 &lt;= 1033, "Medium", TRUE, "Higher")</f>
        <v>Cheap</v>
      </c>
      <c r="F62" s="10">
        <v>0</v>
      </c>
      <c r="G62" s="10">
        <v>0</v>
      </c>
      <c r="H62" s="7"/>
      <c r="O62" s="7">
        <v>171</v>
      </c>
      <c r="P62" s="7">
        <v>650</v>
      </c>
      <c r="Q62" s="7">
        <v>1094</v>
      </c>
    </row>
    <row r="63" spans="1:17" x14ac:dyDescent="0.25">
      <c r="A63" s="5" t="s">
        <v>52</v>
      </c>
      <c r="B63" s="6">
        <v>474</v>
      </c>
      <c r="C63" s="7" t="str" cm="1">
        <f t="array" ref="C63">_xlfn.IFS(B63 &lt;= 567, "Cheap", B63 &lt;= 1033, "Medium", TRUE, "Higher")</f>
        <v>Cheap</v>
      </c>
      <c r="F63" s="10">
        <f>J19</f>
        <v>9.9567099567099568E-2</v>
      </c>
      <c r="G63" s="10">
        <f>L19</f>
        <v>7.4687515238203592E-2</v>
      </c>
      <c r="H63" s="7">
        <f>(G63+G62)/2*(F63-F62)</f>
        <v>3.7182096330707418E-3</v>
      </c>
      <c r="O63" s="7">
        <v>175</v>
      </c>
      <c r="P63" s="7">
        <v>651</v>
      </c>
      <c r="Q63" s="7">
        <v>1095</v>
      </c>
    </row>
    <row r="64" spans="1:17" x14ac:dyDescent="0.25">
      <c r="A64" s="5" t="s">
        <v>52</v>
      </c>
      <c r="B64" s="6">
        <v>476</v>
      </c>
      <c r="C64" s="7" t="str" cm="1">
        <f t="array" ref="C64">_xlfn.IFS(B64 &lt;= 567, "Cheap", B64 &lt;= 1033, "Medium", TRUE, "Higher")</f>
        <v>Cheap</v>
      </c>
      <c r="F64" s="10">
        <f t="shared" ref="F64:F72" si="18">J20</f>
        <v>0.19913419913419914</v>
      </c>
      <c r="G64" s="10">
        <f t="shared" ref="G64:G72" si="19">L20</f>
        <v>0.15477138631081058</v>
      </c>
      <c r="H64" s="7">
        <f>(G64+G63)/2*(F64-F63)</f>
        <v>1.1423278648543995E-2</v>
      </c>
      <c r="O64" s="7">
        <v>176</v>
      </c>
      <c r="P64" s="7">
        <v>653</v>
      </c>
      <c r="Q64" s="7">
        <v>1098</v>
      </c>
    </row>
    <row r="65" spans="1:17" x14ac:dyDescent="0.25">
      <c r="A65" s="5" t="s">
        <v>52</v>
      </c>
      <c r="B65" s="6">
        <v>491</v>
      </c>
      <c r="C65" s="7" t="str" cm="1">
        <f t="array" ref="C65">_xlfn.IFS(B65 &lt;= 567, "Cheap", B65 &lt;= 1033, "Medium", TRUE, "Higher")</f>
        <v>Cheap</v>
      </c>
      <c r="F65" s="10">
        <f t="shared" si="18"/>
        <v>0.29870129870129869</v>
      </c>
      <c r="G65" s="10">
        <f t="shared" si="19"/>
        <v>0.23947683522151608</v>
      </c>
      <c r="H65" s="7">
        <f t="shared" ref="H65:H71" si="20">(G65+G64)/2*(F65-F64)</f>
        <v>1.9627075963730544E-2</v>
      </c>
      <c r="O65" s="7">
        <v>178</v>
      </c>
      <c r="P65" s="7">
        <v>654</v>
      </c>
      <c r="Q65" s="7">
        <v>1100</v>
      </c>
    </row>
    <row r="66" spans="1:17" x14ac:dyDescent="0.25">
      <c r="A66" s="5" t="s">
        <v>52</v>
      </c>
      <c r="B66" s="6">
        <v>501</v>
      </c>
      <c r="C66" s="7" t="str" cm="1">
        <f t="array" ref="C66">_xlfn.IFS(B66 &lt;= 567, "Cheap", B66 &lt;= 1033, "Medium", TRUE, "Higher")</f>
        <v>Cheap</v>
      </c>
      <c r="F66" s="10">
        <f t="shared" si="18"/>
        <v>0.39826839826839827</v>
      </c>
      <c r="G66" s="10">
        <f t="shared" si="19"/>
        <v>0.32974118080501058</v>
      </c>
      <c r="H66" s="7">
        <f t="shared" si="20"/>
        <v>2.8337693438550034E-2</v>
      </c>
      <c r="O66" s="7">
        <v>179</v>
      </c>
      <c r="P66" s="7">
        <v>655</v>
      </c>
      <c r="Q66" s="7">
        <v>1103</v>
      </c>
    </row>
    <row r="67" spans="1:17" x14ac:dyDescent="0.25">
      <c r="A67" s="5" t="s">
        <v>52</v>
      </c>
      <c r="B67" s="6">
        <v>515</v>
      </c>
      <c r="C67" s="7" t="str" cm="1">
        <f t="array" ref="C67">_xlfn.IFS(B67 &lt;= 567, "Cheap", B67 &lt;= 1033, "Medium", TRUE, "Higher")</f>
        <v>Cheap</v>
      </c>
      <c r="F67" s="10">
        <f t="shared" si="18"/>
        <v>0.50216450216450215</v>
      </c>
      <c r="G67" s="10">
        <f t="shared" si="19"/>
        <v>0.43086867242061233</v>
      </c>
      <c r="H67" s="7">
        <f t="shared" si="20"/>
        <v>3.951220016756482E-2</v>
      </c>
      <c r="O67" s="7">
        <v>181</v>
      </c>
      <c r="P67" s="7">
        <v>656</v>
      </c>
      <c r="Q67" s="7">
        <v>1106</v>
      </c>
    </row>
    <row r="68" spans="1:17" x14ac:dyDescent="0.25">
      <c r="A68" s="5" t="s">
        <v>52</v>
      </c>
      <c r="B68" s="6">
        <v>520</v>
      </c>
      <c r="C68" s="7" t="str" cm="1">
        <f t="array" ref="C68">_xlfn.IFS(B68 &lt;= 567, "Cheap", B68 &lt;= 1033, "Medium", TRUE, "Higher")</f>
        <v>Cheap</v>
      </c>
      <c r="F68" s="10">
        <f t="shared" si="18"/>
        <v>0.60173160173160167</v>
      </c>
      <c r="G68" s="10">
        <f t="shared" si="19"/>
        <v>0.53318271215642932</v>
      </c>
      <c r="H68" s="7">
        <f t="shared" si="20"/>
        <v>4.7993900097991232E-2</v>
      </c>
      <c r="O68" s="7">
        <v>182</v>
      </c>
      <c r="P68" s="7">
        <v>657</v>
      </c>
      <c r="Q68" s="7">
        <v>1107</v>
      </c>
    </row>
    <row r="69" spans="1:17" x14ac:dyDescent="0.25">
      <c r="A69" s="5" t="s">
        <v>52</v>
      </c>
      <c r="B69" s="6">
        <v>528</v>
      </c>
      <c r="C69" s="7" t="str" cm="1">
        <f t="array" ref="C69">_xlfn.IFS(B69 &lt;= 567, "Cheap", B69 &lt;= 1033, "Medium", TRUE, "Higher")</f>
        <v>Cheap</v>
      </c>
      <c r="F69" s="10">
        <f t="shared" si="18"/>
        <v>0.7012987012987012</v>
      </c>
      <c r="G69" s="10">
        <f t="shared" si="19"/>
        <v>0.64136989418591428</v>
      </c>
      <c r="H69" s="7">
        <f t="shared" si="20"/>
        <v>5.8473398151242195E-2</v>
      </c>
      <c r="O69" s="7">
        <v>183</v>
      </c>
      <c r="P69" s="7">
        <v>658</v>
      </c>
      <c r="Q69" s="7">
        <v>1109</v>
      </c>
    </row>
    <row r="70" spans="1:17" x14ac:dyDescent="0.25">
      <c r="A70" s="5" t="s">
        <v>52</v>
      </c>
      <c r="B70" s="6">
        <v>531</v>
      </c>
      <c r="C70" s="7" t="str" cm="1">
        <f t="array" ref="C70">_xlfn.IFS(B70 &lt;= 567, "Cheap", B70 &lt;= 1033, "Medium", TRUE, "Higher")</f>
        <v>Cheap</v>
      </c>
      <c r="F70" s="10">
        <f t="shared" si="18"/>
        <v>0.80086580086580073</v>
      </c>
      <c r="G70" s="10">
        <f t="shared" si="19"/>
        <v>0.75473671093195505</v>
      </c>
      <c r="H70" s="7">
        <f t="shared" si="20"/>
        <v>6.9503142679028088E-2</v>
      </c>
      <c r="O70" s="7">
        <v>184</v>
      </c>
      <c r="P70" s="7">
        <v>660</v>
      </c>
      <c r="Q70" s="7">
        <v>1111</v>
      </c>
    </row>
    <row r="71" spans="1:17" x14ac:dyDescent="0.25">
      <c r="A71" s="5" t="s">
        <v>52</v>
      </c>
      <c r="B71" s="6">
        <v>538</v>
      </c>
      <c r="C71" s="7" t="str" cm="1">
        <f t="array" ref="C71">_xlfn.IFS(B71 &lt;= 567, "Cheap", B71 &lt;= 1033, "Medium", TRUE, "Higher")</f>
        <v>Cheap</v>
      </c>
      <c r="F71" s="10">
        <f t="shared" si="18"/>
        <v>0.90043290043290025</v>
      </c>
      <c r="G71" s="10">
        <f t="shared" si="19"/>
        <v>0.87438302206762786</v>
      </c>
      <c r="H71" s="7">
        <f t="shared" si="20"/>
        <v>8.1103363331148037E-2</v>
      </c>
      <c r="O71" s="7">
        <v>186</v>
      </c>
      <c r="P71" s="7">
        <v>661</v>
      </c>
      <c r="Q71" s="7">
        <v>1116</v>
      </c>
    </row>
    <row r="72" spans="1:17" x14ac:dyDescent="0.25">
      <c r="A72" s="5" t="s">
        <v>24</v>
      </c>
      <c r="B72" s="6">
        <v>109</v>
      </c>
      <c r="C72" s="7" t="str" cm="1">
        <f t="array" ref="C72">_xlfn.IFS(B72 &lt;= 567, "Cheap", B72 &lt;= 1033, "Medium", TRUE, "Higher")</f>
        <v>Cheap</v>
      </c>
      <c r="F72" s="10">
        <f t="shared" si="18"/>
        <v>0.99999999999999978</v>
      </c>
      <c r="G72" s="10">
        <f t="shared" si="19"/>
        <v>1</v>
      </c>
      <c r="H72" s="7"/>
      <c r="O72" s="7">
        <v>187</v>
      </c>
      <c r="P72" s="7">
        <v>662</v>
      </c>
      <c r="Q72" s="7">
        <v>1118</v>
      </c>
    </row>
    <row r="73" spans="1:17" x14ac:dyDescent="0.25">
      <c r="A73" s="5" t="s">
        <v>24</v>
      </c>
      <c r="B73" s="6">
        <v>136</v>
      </c>
      <c r="C73" s="7" t="str" cm="1">
        <f t="array" ref="C73">_xlfn.IFS(B73 &lt;= 567, "Cheap", B73 &lt;= 1033, "Medium", TRUE, "Higher")</f>
        <v>Cheap</v>
      </c>
      <c r="F73" s="14"/>
      <c r="O73" s="7">
        <v>188</v>
      </c>
      <c r="P73" s="7">
        <v>664</v>
      </c>
      <c r="Q73" s="7">
        <v>1119</v>
      </c>
    </row>
    <row r="74" spans="1:17" x14ac:dyDescent="0.25">
      <c r="A74" s="5" t="s">
        <v>24</v>
      </c>
      <c r="B74" s="6">
        <v>182</v>
      </c>
      <c r="C74" s="7" t="str" cm="1">
        <f t="array" ref="C74">_xlfn.IFS(B74 &lt;= 567, "Cheap", B74 &lt;= 1033, "Medium", TRUE, "Higher")</f>
        <v>Cheap</v>
      </c>
      <c r="F74" s="8" t="s">
        <v>1070</v>
      </c>
      <c r="G74" s="10">
        <f>1-SUM(H63:H71)/0.5</f>
        <v>0.28061547577826063</v>
      </c>
      <c r="O74" s="7">
        <v>189</v>
      </c>
      <c r="P74" s="7">
        <v>665</v>
      </c>
      <c r="Q74" s="7">
        <v>1121</v>
      </c>
    </row>
    <row r="75" spans="1:17" x14ac:dyDescent="0.25">
      <c r="A75" s="5" t="s">
        <v>24</v>
      </c>
      <c r="B75" s="6">
        <v>184</v>
      </c>
      <c r="C75" s="7" t="str" cm="1">
        <f t="array" ref="C75">_xlfn.IFS(B75 &lt;= 567, "Cheap", B75 &lt;= 1033, "Medium", TRUE, "Higher")</f>
        <v>Cheap</v>
      </c>
      <c r="O75" s="7">
        <v>192</v>
      </c>
      <c r="P75" s="7">
        <v>666</v>
      </c>
      <c r="Q75" s="7">
        <v>1122</v>
      </c>
    </row>
    <row r="76" spans="1:17" x14ac:dyDescent="0.25">
      <c r="A76" s="5" t="s">
        <v>24</v>
      </c>
      <c r="B76" s="6">
        <v>189</v>
      </c>
      <c r="C76" s="7" t="str" cm="1">
        <f t="array" ref="C76">_xlfn.IFS(B76 &lt;= 567, "Cheap", B76 &lt;= 1033, "Medium", TRUE, "Higher")</f>
        <v>Cheap</v>
      </c>
      <c r="O76" s="7">
        <v>193</v>
      </c>
      <c r="P76" s="7">
        <v>670</v>
      </c>
      <c r="Q76" s="7">
        <v>1124</v>
      </c>
    </row>
    <row r="77" spans="1:17" x14ac:dyDescent="0.25">
      <c r="A77" s="5" t="s">
        <v>24</v>
      </c>
      <c r="B77" s="6">
        <v>192</v>
      </c>
      <c r="C77" s="7" t="str" cm="1">
        <f t="array" ref="C77">_xlfn.IFS(B77 &lt;= 567, "Cheap", B77 &lt;= 1033, "Medium", TRUE, "Higher")</f>
        <v>Cheap</v>
      </c>
      <c r="F77" s="8" t="s">
        <v>40</v>
      </c>
      <c r="G77" s="8" t="s">
        <v>45</v>
      </c>
      <c r="H77" s="8" t="s">
        <v>67</v>
      </c>
      <c r="O77" s="7">
        <v>197</v>
      </c>
      <c r="P77" s="7">
        <v>672</v>
      </c>
      <c r="Q77" s="7">
        <v>1126</v>
      </c>
    </row>
    <row r="78" spans="1:17" x14ac:dyDescent="0.25">
      <c r="A78" s="5" t="s">
        <v>24</v>
      </c>
      <c r="B78" s="6">
        <v>263</v>
      </c>
      <c r="C78" s="7" t="str" cm="1">
        <f t="array" ref="C78">_xlfn.IFS(B78 &lt;= 567, "Cheap", B78 &lt;= 1033, "Medium", TRUE, "Higher")</f>
        <v>Cheap</v>
      </c>
      <c r="F78" s="10">
        <v>0</v>
      </c>
      <c r="G78" s="10">
        <v>0</v>
      </c>
      <c r="H78" s="7"/>
      <c r="O78" s="7">
        <v>202</v>
      </c>
      <c r="P78" s="7">
        <v>674</v>
      </c>
      <c r="Q78" s="7">
        <v>1127</v>
      </c>
    </row>
    <row r="79" spans="1:17" x14ac:dyDescent="0.25">
      <c r="A79" s="5" t="s">
        <v>24</v>
      </c>
      <c r="B79" s="6">
        <v>270</v>
      </c>
      <c r="C79" s="7" t="str" cm="1">
        <f t="array" ref="C79">_xlfn.IFS(B79 &lt;= 567, "Cheap", B79 &lt;= 1033, "Medium", TRUE, "Higher")</f>
        <v>Cheap</v>
      </c>
      <c r="F79" s="10">
        <f>J33</f>
        <v>9.6899224806201556E-2</v>
      </c>
      <c r="G79" s="10">
        <f>L33</f>
        <v>8.0646545383219734E-2</v>
      </c>
      <c r="H79" s="7">
        <f>(G79+G78)/2*(F79-F78)</f>
        <v>3.907293865466073E-3</v>
      </c>
      <c r="O79" s="7">
        <v>204</v>
      </c>
      <c r="P79" s="7">
        <v>679</v>
      </c>
      <c r="Q79" s="7">
        <v>1129</v>
      </c>
    </row>
    <row r="80" spans="1:17" x14ac:dyDescent="0.25">
      <c r="A80" s="5" t="s">
        <v>24</v>
      </c>
      <c r="B80" s="6">
        <v>282</v>
      </c>
      <c r="C80" s="7" t="str" cm="1">
        <f t="array" ref="C80">_xlfn.IFS(B80 &lt;= 567, "Cheap", B80 &lt;= 1033, "Medium", TRUE, "Higher")</f>
        <v>Cheap</v>
      </c>
      <c r="F80" s="10">
        <f t="shared" ref="F80:F88" si="21">J34</f>
        <v>0.19767441860465118</v>
      </c>
      <c r="G80" s="10">
        <f t="shared" ref="G80:G88" si="22">L34</f>
        <v>0.16775057617810032</v>
      </c>
      <c r="H80" s="7">
        <f>(G80+G79)/2*(F80-F79)</f>
        <v>1.2516134032159539E-2</v>
      </c>
      <c r="O80" s="7">
        <v>205</v>
      </c>
      <c r="P80" s="7">
        <v>681</v>
      </c>
      <c r="Q80" s="7">
        <v>1131</v>
      </c>
    </row>
    <row r="81" spans="1:17" x14ac:dyDescent="0.25">
      <c r="A81" s="5" t="s">
        <v>24</v>
      </c>
      <c r="B81" s="6">
        <v>284</v>
      </c>
      <c r="C81" s="7" t="str" cm="1">
        <f t="array" ref="C81">_xlfn.IFS(B81 &lt;= 567, "Cheap", B81 &lt;= 1033, "Medium", TRUE, "Higher")</f>
        <v>Cheap</v>
      </c>
      <c r="F81" s="10">
        <f t="shared" si="21"/>
        <v>0.29844961240310081</v>
      </c>
      <c r="G81" s="10">
        <f t="shared" si="22"/>
        <v>0.25887865934389254</v>
      </c>
      <c r="H81" s="7">
        <f t="shared" ref="H81:H87" si="23">(G81+G80)/2*(F81-F80)</f>
        <v>2.1496821944906618E-2</v>
      </c>
      <c r="O81" s="7">
        <v>208</v>
      </c>
      <c r="P81" s="7">
        <v>682</v>
      </c>
      <c r="Q81" s="7">
        <v>1132</v>
      </c>
    </row>
    <row r="82" spans="1:17" x14ac:dyDescent="0.25">
      <c r="A82" s="5" t="s">
        <v>24</v>
      </c>
      <c r="B82" s="6">
        <v>297</v>
      </c>
      <c r="C82" s="7" t="str" cm="1">
        <f t="array" ref="C82">_xlfn.IFS(B82 &lt;= 567, "Cheap", B82 &lt;= 1033, "Medium", TRUE, "Higher")</f>
        <v>Cheap</v>
      </c>
      <c r="F82" s="10">
        <f t="shared" si="21"/>
        <v>0.39922480620155043</v>
      </c>
      <c r="G82" s="10">
        <f t="shared" si="22"/>
        <v>0.35416564507429021</v>
      </c>
      <c r="H82" s="7">
        <f t="shared" si="23"/>
        <v>3.0889829292389061E-2</v>
      </c>
      <c r="O82" s="7">
        <v>209</v>
      </c>
      <c r="P82" s="7">
        <v>684</v>
      </c>
      <c r="Q82" s="7">
        <v>1137</v>
      </c>
    </row>
    <row r="83" spans="1:17" x14ac:dyDescent="0.25">
      <c r="A83" s="5" t="s">
        <v>24</v>
      </c>
      <c r="B83" s="6">
        <v>298</v>
      </c>
      <c r="C83" s="7" t="str" cm="1">
        <f t="array" ref="C83">_xlfn.IFS(B83 &lt;= 567, "Cheap", B83 &lt;= 1033, "Medium", TRUE, "Higher")</f>
        <v>Cheap</v>
      </c>
      <c r="F83" s="10">
        <f t="shared" si="21"/>
        <v>0.5</v>
      </c>
      <c r="G83" s="10">
        <f t="shared" si="22"/>
        <v>0.45336635119894081</v>
      </c>
      <c r="H83" s="7">
        <f t="shared" si="23"/>
        <v>4.0689596711441858E-2</v>
      </c>
      <c r="O83" s="7">
        <v>210</v>
      </c>
      <c r="P83" s="7">
        <v>688</v>
      </c>
      <c r="Q83" s="7">
        <v>1138</v>
      </c>
    </row>
    <row r="84" spans="1:17" x14ac:dyDescent="0.25">
      <c r="A84" s="5" t="s">
        <v>24</v>
      </c>
      <c r="B84" s="6">
        <v>318</v>
      </c>
      <c r="C84" s="7" t="str" cm="1">
        <f t="array" ref="C84">_xlfn.IFS(B84 &lt;= 567, "Cheap", B84 &lt;= 1033, "Medium", TRUE, "Higher")</f>
        <v>Cheap</v>
      </c>
      <c r="F84" s="10">
        <f t="shared" si="21"/>
        <v>0.60077519379844957</v>
      </c>
      <c r="G84" s="10">
        <f t="shared" si="22"/>
        <v>0.55612526357083314</v>
      </c>
      <c r="H84" s="7">
        <f t="shared" si="23"/>
        <v>5.0865856558166882E-2</v>
      </c>
      <c r="O84" s="7">
        <v>212</v>
      </c>
      <c r="P84" s="7">
        <v>689</v>
      </c>
      <c r="Q84" s="7">
        <v>1139</v>
      </c>
    </row>
    <row r="85" spans="1:17" x14ac:dyDescent="0.25">
      <c r="A85" s="5" t="s">
        <v>24</v>
      </c>
      <c r="B85" s="6">
        <v>359</v>
      </c>
      <c r="C85" s="7" t="str" cm="1">
        <f t="array" ref="C85">_xlfn.IFS(B85 &lt;= 567, "Cheap", B85 &lt;= 1033, "Medium", TRUE, "Higher")</f>
        <v>Cheap</v>
      </c>
      <c r="F85" s="10">
        <f t="shared" si="21"/>
        <v>0.70155038759689914</v>
      </c>
      <c r="G85" s="10">
        <f t="shared" si="22"/>
        <v>0.66267224047467266</v>
      </c>
      <c r="H85" s="7">
        <f t="shared" si="23"/>
        <v>6.1412277335626229E-2</v>
      </c>
      <c r="O85" s="7">
        <v>213</v>
      </c>
      <c r="P85" s="7">
        <v>691</v>
      </c>
      <c r="Q85" s="7">
        <v>1140</v>
      </c>
    </row>
    <row r="86" spans="1:17" x14ac:dyDescent="0.25">
      <c r="A86" s="5" t="s">
        <v>24</v>
      </c>
      <c r="B86" s="6">
        <v>378</v>
      </c>
      <c r="C86" s="7" t="str" cm="1">
        <f t="array" ref="C86">_xlfn.IFS(B86 &lt;= 567, "Cheap", B86 &lt;= 1033, "Medium", TRUE, "Higher")</f>
        <v>Cheap</v>
      </c>
      <c r="F86" s="10">
        <f t="shared" si="21"/>
        <v>0.80232558139534871</v>
      </c>
      <c r="G86" s="10">
        <f t="shared" si="22"/>
        <v>0.77291227381944783</v>
      </c>
      <c r="H86" s="7">
        <f t="shared" si="23"/>
        <v>7.2335653821021556E-2</v>
      </c>
      <c r="O86" s="7">
        <v>218</v>
      </c>
      <c r="P86" s="7">
        <v>693</v>
      </c>
      <c r="Q86" s="7">
        <v>1141</v>
      </c>
    </row>
    <row r="87" spans="1:17" x14ac:dyDescent="0.25">
      <c r="A87" s="5" t="s">
        <v>24</v>
      </c>
      <c r="B87" s="6">
        <v>404</v>
      </c>
      <c r="C87" s="7" t="str" cm="1">
        <f t="array" ref="C87">_xlfn.IFS(B87 &lt;= 567, "Cheap", B87 &lt;= 1033, "Medium", TRUE, "Higher")</f>
        <v>Cheap</v>
      </c>
      <c r="F87" s="10">
        <f t="shared" si="21"/>
        <v>0.90310077519379828</v>
      </c>
      <c r="G87" s="10">
        <f t="shared" si="22"/>
        <v>0.88685149315941747</v>
      </c>
      <c r="H87" s="7">
        <f t="shared" si="23"/>
        <v>8.363150763846991E-2</v>
      </c>
      <c r="O87" s="7">
        <v>221</v>
      </c>
      <c r="P87" s="7">
        <v>695</v>
      </c>
      <c r="Q87" s="7">
        <v>1143</v>
      </c>
    </row>
    <row r="88" spans="1:17" x14ac:dyDescent="0.25">
      <c r="A88" s="5" t="s">
        <v>24</v>
      </c>
      <c r="B88" s="6">
        <v>413</v>
      </c>
      <c r="C88" s="7" t="str" cm="1">
        <f t="array" ref="C88">_xlfn.IFS(B88 &lt;= 567, "Cheap", B88 &lt;= 1033, "Medium", TRUE, "Higher")</f>
        <v>Cheap</v>
      </c>
      <c r="F88" s="10">
        <f t="shared" si="21"/>
        <v>0.99999999999999978</v>
      </c>
      <c r="G88" s="10">
        <f t="shared" si="22"/>
        <v>1</v>
      </c>
      <c r="H88" s="7"/>
      <c r="O88" s="7">
        <v>223</v>
      </c>
      <c r="P88" s="7">
        <v>698</v>
      </c>
      <c r="Q88" s="7">
        <v>1146</v>
      </c>
    </row>
    <row r="89" spans="1:17" x14ac:dyDescent="0.25">
      <c r="A89" s="5" t="s">
        <v>24</v>
      </c>
      <c r="B89" s="6">
        <v>418</v>
      </c>
      <c r="C89" s="7" t="str" cm="1">
        <f t="array" ref="C89">_xlfn.IFS(B89 &lt;= 567, "Cheap", B89 &lt;= 1033, "Medium", TRUE, "Higher")</f>
        <v>Cheap</v>
      </c>
      <c r="F89" s="14"/>
      <c r="O89" s="7">
        <v>224</v>
      </c>
      <c r="P89" s="7">
        <v>699</v>
      </c>
      <c r="Q89" s="7">
        <v>1147</v>
      </c>
    </row>
    <row r="90" spans="1:17" x14ac:dyDescent="0.25">
      <c r="A90" s="5" t="s">
        <v>24</v>
      </c>
      <c r="B90" s="6">
        <v>429</v>
      </c>
      <c r="C90" s="7" t="str" cm="1">
        <f t="array" ref="C90">_xlfn.IFS(B90 &lt;= 567, "Cheap", B90 &lt;= 1033, "Medium", TRUE, "Higher")</f>
        <v>Cheap</v>
      </c>
      <c r="F90" s="8" t="s">
        <v>1070</v>
      </c>
      <c r="G90" s="10">
        <f>1-SUM(H79:H87)/0.5</f>
        <v>0.24451005760070443</v>
      </c>
      <c r="O90" s="7">
        <v>225</v>
      </c>
      <c r="P90" s="7">
        <v>701</v>
      </c>
      <c r="Q90" s="7">
        <v>1149</v>
      </c>
    </row>
    <row r="91" spans="1:17" x14ac:dyDescent="0.25">
      <c r="A91" s="5" t="s">
        <v>24</v>
      </c>
      <c r="B91" s="6">
        <v>464</v>
      </c>
      <c r="C91" s="7" t="str" cm="1">
        <f t="array" ref="C91">_xlfn.IFS(B91 &lt;= 567, "Cheap", B91 &lt;= 1033, "Medium", TRUE, "Higher")</f>
        <v>Cheap</v>
      </c>
      <c r="O91" s="7">
        <v>227</v>
      </c>
      <c r="P91" s="7">
        <v>702</v>
      </c>
      <c r="Q91" s="7">
        <v>1150</v>
      </c>
    </row>
    <row r="92" spans="1:17" x14ac:dyDescent="0.25">
      <c r="A92" s="5" t="s">
        <v>24</v>
      </c>
      <c r="B92" s="6">
        <v>465</v>
      </c>
      <c r="C92" s="7" t="str" cm="1">
        <f t="array" ref="C92">_xlfn.IFS(B92 &lt;= 567, "Cheap", B92 &lt;= 1033, "Medium", TRUE, "Higher")</f>
        <v>Cheap</v>
      </c>
      <c r="O92" s="7">
        <v>230</v>
      </c>
      <c r="P92" s="7">
        <v>703</v>
      </c>
      <c r="Q92" s="7">
        <v>1154</v>
      </c>
    </row>
    <row r="93" spans="1:17" x14ac:dyDescent="0.25">
      <c r="A93" s="5" t="s">
        <v>24</v>
      </c>
      <c r="B93" s="6">
        <v>473</v>
      </c>
      <c r="C93" s="7" t="str" cm="1">
        <f t="array" ref="C93">_xlfn.IFS(B93 &lt;= 567, "Cheap", B93 &lt;= 1033, "Medium", TRUE, "Higher")</f>
        <v>Cheap</v>
      </c>
      <c r="O93" s="7">
        <v>231</v>
      </c>
      <c r="P93" s="7">
        <v>706</v>
      </c>
      <c r="Q93" s="7">
        <v>1159</v>
      </c>
    </row>
    <row r="94" spans="1:17" x14ac:dyDescent="0.25">
      <c r="A94" s="5" t="s">
        <v>24</v>
      </c>
      <c r="B94" s="6">
        <v>508</v>
      </c>
      <c r="C94" s="7" t="str" cm="1">
        <f t="array" ref="C94">_xlfn.IFS(B94 &lt;= 567, "Cheap", B94 &lt;= 1033, "Medium", TRUE, "Higher")</f>
        <v>Cheap</v>
      </c>
      <c r="O94" s="7">
        <v>232</v>
      </c>
      <c r="P94" s="7">
        <v>707</v>
      </c>
      <c r="Q94" s="7">
        <v>1160</v>
      </c>
    </row>
    <row r="95" spans="1:17" x14ac:dyDescent="0.25">
      <c r="A95" s="5" t="s">
        <v>24</v>
      </c>
      <c r="B95" s="6">
        <v>513</v>
      </c>
      <c r="C95" s="7" t="str" cm="1">
        <f t="array" ref="C95">_xlfn.IFS(B95 &lt;= 567, "Cheap", B95 &lt;= 1033, "Medium", TRUE, "Higher")</f>
        <v>Cheap</v>
      </c>
      <c r="O95" s="7">
        <v>234</v>
      </c>
      <c r="P95" s="7">
        <v>709</v>
      </c>
      <c r="Q95" s="7">
        <v>1161</v>
      </c>
    </row>
    <row r="96" spans="1:17" x14ac:dyDescent="0.25">
      <c r="A96" s="5" t="s">
        <v>24</v>
      </c>
      <c r="B96" s="6">
        <v>515</v>
      </c>
      <c r="C96" s="7" t="str" cm="1">
        <f t="array" ref="C96">_xlfn.IFS(B96 &lt;= 567, "Cheap", B96 &lt;= 1033, "Medium", TRUE, "Higher")</f>
        <v>Cheap</v>
      </c>
      <c r="O96" s="7">
        <v>235</v>
      </c>
      <c r="P96" s="7">
        <v>711</v>
      </c>
      <c r="Q96" s="7">
        <v>1163</v>
      </c>
    </row>
    <row r="97" spans="1:17" x14ac:dyDescent="0.25">
      <c r="A97" s="5" t="s">
        <v>24</v>
      </c>
      <c r="B97" s="6">
        <v>529</v>
      </c>
      <c r="C97" s="7" t="str" cm="1">
        <f t="array" ref="C97">_xlfn.IFS(B97 &lt;= 567, "Cheap", B97 &lt;= 1033, "Medium", TRUE, "Higher")</f>
        <v>Cheap</v>
      </c>
      <c r="O97" s="7">
        <v>236</v>
      </c>
      <c r="P97" s="7">
        <v>714</v>
      </c>
      <c r="Q97" s="7">
        <v>1164</v>
      </c>
    </row>
    <row r="98" spans="1:17" x14ac:dyDescent="0.25">
      <c r="A98" s="5" t="s">
        <v>24</v>
      </c>
      <c r="B98" s="6">
        <v>533</v>
      </c>
      <c r="C98" s="7" t="str" cm="1">
        <f t="array" ref="C98">_xlfn.IFS(B98 &lt;= 567, "Cheap", B98 &lt;= 1033, "Medium", TRUE, "Higher")</f>
        <v>Cheap</v>
      </c>
      <c r="O98" s="7">
        <v>238</v>
      </c>
      <c r="P98" s="7">
        <v>715</v>
      </c>
      <c r="Q98" s="7">
        <v>1165</v>
      </c>
    </row>
    <row r="99" spans="1:17" x14ac:dyDescent="0.25">
      <c r="A99" s="5" t="s">
        <v>24</v>
      </c>
      <c r="B99" s="6">
        <v>548</v>
      </c>
      <c r="C99" s="7" t="str" cm="1">
        <f t="array" ref="C99">_xlfn.IFS(B99 &lt;= 567, "Cheap", B99 &lt;= 1033, "Medium", TRUE, "Higher")</f>
        <v>Cheap</v>
      </c>
      <c r="O99" s="7">
        <v>239</v>
      </c>
      <c r="P99" s="7">
        <v>717</v>
      </c>
      <c r="Q99" s="7">
        <v>1166</v>
      </c>
    </row>
    <row r="100" spans="1:17" x14ac:dyDescent="0.25">
      <c r="A100" s="5" t="s">
        <v>24</v>
      </c>
      <c r="B100" s="6">
        <v>551</v>
      </c>
      <c r="C100" s="7" t="str" cm="1">
        <f t="array" ref="C100">_xlfn.IFS(B100 &lt;= 567, "Cheap", B100 &lt;= 1033, "Medium", TRUE, "Higher")</f>
        <v>Cheap</v>
      </c>
      <c r="O100" s="7">
        <v>241</v>
      </c>
      <c r="P100" s="7">
        <v>718</v>
      </c>
      <c r="Q100" s="7">
        <v>1167</v>
      </c>
    </row>
    <row r="101" spans="1:17" x14ac:dyDescent="0.25">
      <c r="A101" s="5" t="s">
        <v>24</v>
      </c>
      <c r="B101" s="6">
        <v>554</v>
      </c>
      <c r="C101" s="7" t="str" cm="1">
        <f t="array" ref="C101">_xlfn.IFS(B101 &lt;= 567, "Cheap", B101 &lt;= 1033, "Medium", TRUE, "Higher")</f>
        <v>Cheap</v>
      </c>
      <c r="O101" s="7">
        <v>245</v>
      </c>
      <c r="P101" s="7">
        <v>721</v>
      </c>
      <c r="Q101" s="7">
        <v>1170</v>
      </c>
    </row>
    <row r="102" spans="1:17" x14ac:dyDescent="0.25">
      <c r="A102" s="5" t="s">
        <v>24</v>
      </c>
      <c r="B102" s="6">
        <v>567</v>
      </c>
      <c r="C102" s="7" t="str" cm="1">
        <f t="array" ref="C102">_xlfn.IFS(B102 &lt;= 567, "Cheap", B102 &lt;= 1033, "Medium", TRUE, "Higher")</f>
        <v>Cheap</v>
      </c>
      <c r="O102" s="7">
        <v>246</v>
      </c>
      <c r="P102" s="7">
        <v>723</v>
      </c>
      <c r="Q102" s="7">
        <v>1171</v>
      </c>
    </row>
    <row r="103" spans="1:17" x14ac:dyDescent="0.25">
      <c r="A103" s="5" t="s">
        <v>47</v>
      </c>
      <c r="B103" s="6">
        <v>118</v>
      </c>
      <c r="C103" s="7" t="str" cm="1">
        <f t="array" ref="C103">_xlfn.IFS(B103 &lt;= 567, "Cheap", B103 &lt;= 1033, "Medium", TRUE, "Higher")</f>
        <v>Cheap</v>
      </c>
      <c r="O103" s="7">
        <v>247</v>
      </c>
      <c r="P103" s="7">
        <v>724</v>
      </c>
      <c r="Q103" s="7">
        <v>1178</v>
      </c>
    </row>
    <row r="104" spans="1:17" x14ac:dyDescent="0.25">
      <c r="A104" s="5" t="s">
        <v>47</v>
      </c>
      <c r="B104" s="6">
        <v>119</v>
      </c>
      <c r="C104" s="7" t="str" cm="1">
        <f t="array" ref="C104">_xlfn.IFS(B104 &lt;= 567, "Cheap", B104 &lt;= 1033, "Medium", TRUE, "Higher")</f>
        <v>Cheap</v>
      </c>
      <c r="O104" s="7">
        <v>253</v>
      </c>
      <c r="P104" s="7">
        <v>726</v>
      </c>
      <c r="Q104" s="7">
        <v>1181</v>
      </c>
    </row>
    <row r="105" spans="1:17" x14ac:dyDescent="0.25">
      <c r="A105" s="5" t="s">
        <v>47</v>
      </c>
      <c r="B105" s="6">
        <v>127</v>
      </c>
      <c r="C105" s="7" t="str" cm="1">
        <f t="array" ref="C105">_xlfn.IFS(B105 &lt;= 567, "Cheap", B105 &lt;= 1033, "Medium", TRUE, "Higher")</f>
        <v>Cheap</v>
      </c>
      <c r="O105" s="7">
        <v>254</v>
      </c>
      <c r="P105" s="7">
        <v>727</v>
      </c>
      <c r="Q105" s="7">
        <v>1182</v>
      </c>
    </row>
    <row r="106" spans="1:17" x14ac:dyDescent="0.25">
      <c r="A106" s="5" t="s">
        <v>47</v>
      </c>
      <c r="B106" s="6">
        <v>135</v>
      </c>
      <c r="C106" s="7" t="str" cm="1">
        <f t="array" ref="C106">_xlfn.IFS(B106 &lt;= 567, "Cheap", B106 &lt;= 1033, "Medium", TRUE, "Higher")</f>
        <v>Cheap</v>
      </c>
      <c r="O106" s="7">
        <v>255</v>
      </c>
      <c r="P106" s="7">
        <v>729</v>
      </c>
      <c r="Q106" s="7">
        <v>1185</v>
      </c>
    </row>
    <row r="107" spans="1:17" x14ac:dyDescent="0.25">
      <c r="A107" s="5" t="s">
        <v>47</v>
      </c>
      <c r="B107" s="6">
        <v>137</v>
      </c>
      <c r="C107" s="7" t="str" cm="1">
        <f t="array" ref="C107">_xlfn.IFS(B107 &lt;= 567, "Cheap", B107 &lt;= 1033, "Medium", TRUE, "Higher")</f>
        <v>Cheap</v>
      </c>
      <c r="O107" s="7">
        <v>256</v>
      </c>
      <c r="P107" s="7">
        <v>730</v>
      </c>
      <c r="Q107" s="7">
        <v>1186</v>
      </c>
    </row>
    <row r="108" spans="1:17" x14ac:dyDescent="0.25">
      <c r="A108" s="5" t="s">
        <v>47</v>
      </c>
      <c r="B108" s="6">
        <v>147</v>
      </c>
      <c r="C108" s="7" t="str" cm="1">
        <f t="array" ref="C108">_xlfn.IFS(B108 &lt;= 567, "Cheap", B108 &lt;= 1033, "Medium", TRUE, "Higher")</f>
        <v>Cheap</v>
      </c>
      <c r="O108" s="7">
        <v>258</v>
      </c>
      <c r="P108" s="7">
        <v>731</v>
      </c>
      <c r="Q108" s="7">
        <v>1187</v>
      </c>
    </row>
    <row r="109" spans="1:17" x14ac:dyDescent="0.25">
      <c r="A109" s="5" t="s">
        <v>47</v>
      </c>
      <c r="B109" s="6">
        <v>148</v>
      </c>
      <c r="C109" s="7" t="str" cm="1">
        <f t="array" ref="C109">_xlfn.IFS(B109 &lt;= 567, "Cheap", B109 &lt;= 1033, "Medium", TRUE, "Higher")</f>
        <v>Cheap</v>
      </c>
      <c r="O109" s="7">
        <v>259</v>
      </c>
      <c r="P109" s="7">
        <v>732</v>
      </c>
      <c r="Q109" s="7">
        <v>1188</v>
      </c>
    </row>
    <row r="110" spans="1:17" x14ac:dyDescent="0.25">
      <c r="A110" s="5" t="s">
        <v>47</v>
      </c>
      <c r="B110" s="6">
        <v>151</v>
      </c>
      <c r="C110" s="7" t="str" cm="1">
        <f t="array" ref="C110">_xlfn.IFS(B110 &lt;= 567, "Cheap", B110 &lt;= 1033, "Medium", TRUE, "Higher")</f>
        <v>Cheap</v>
      </c>
      <c r="O110" s="7">
        <v>262</v>
      </c>
      <c r="P110" s="7">
        <v>736</v>
      </c>
      <c r="Q110" s="7">
        <v>1189</v>
      </c>
    </row>
    <row r="111" spans="1:17" x14ac:dyDescent="0.25">
      <c r="A111" s="5" t="s">
        <v>47</v>
      </c>
      <c r="B111" s="6">
        <v>158</v>
      </c>
      <c r="C111" s="7" t="str" cm="1">
        <f t="array" ref="C111">_xlfn.IFS(B111 &lt;= 567, "Cheap", B111 &lt;= 1033, "Medium", TRUE, "Higher")</f>
        <v>Cheap</v>
      </c>
      <c r="O111" s="7">
        <v>263</v>
      </c>
      <c r="P111" s="7">
        <v>738</v>
      </c>
      <c r="Q111" s="7">
        <v>1190</v>
      </c>
    </row>
    <row r="112" spans="1:17" x14ac:dyDescent="0.25">
      <c r="A112" s="5" t="s">
        <v>47</v>
      </c>
      <c r="B112" s="6">
        <v>163</v>
      </c>
      <c r="C112" s="7" t="str" cm="1">
        <f t="array" ref="C112">_xlfn.IFS(B112 &lt;= 567, "Cheap", B112 &lt;= 1033, "Medium", TRUE, "Higher")</f>
        <v>Cheap</v>
      </c>
      <c r="O112" s="7">
        <v>264</v>
      </c>
      <c r="P112" s="7">
        <v>743</v>
      </c>
      <c r="Q112" s="7">
        <v>1192</v>
      </c>
    </row>
    <row r="113" spans="1:17" x14ac:dyDescent="0.25">
      <c r="A113" s="5" t="s">
        <v>47</v>
      </c>
      <c r="B113" s="6">
        <v>168</v>
      </c>
      <c r="C113" s="7" t="str" cm="1">
        <f t="array" ref="C113">_xlfn.IFS(B113 &lt;= 567, "Cheap", B113 &lt;= 1033, "Medium", TRUE, "Higher")</f>
        <v>Cheap</v>
      </c>
      <c r="O113" s="7">
        <v>266</v>
      </c>
      <c r="P113" s="7">
        <v>748</v>
      </c>
      <c r="Q113" s="7">
        <v>1194</v>
      </c>
    </row>
    <row r="114" spans="1:17" x14ac:dyDescent="0.25">
      <c r="A114" s="5" t="s">
        <v>47</v>
      </c>
      <c r="B114" s="6">
        <v>184</v>
      </c>
      <c r="C114" s="7" t="str" cm="1">
        <f t="array" ref="C114">_xlfn.IFS(B114 &lt;= 567, "Cheap", B114 &lt;= 1033, "Medium", TRUE, "Higher")</f>
        <v>Cheap</v>
      </c>
      <c r="O114" s="7">
        <v>270</v>
      </c>
      <c r="P114" s="7">
        <v>752</v>
      </c>
      <c r="Q114" s="7">
        <v>1196</v>
      </c>
    </row>
    <row r="115" spans="1:17" x14ac:dyDescent="0.25">
      <c r="A115" s="5" t="s">
        <v>47</v>
      </c>
      <c r="B115" s="6">
        <v>232</v>
      </c>
      <c r="C115" s="7" t="str" cm="1">
        <f t="array" ref="C115">_xlfn.IFS(B115 &lt;= 567, "Cheap", B115 &lt;= 1033, "Medium", TRUE, "Higher")</f>
        <v>Cheap</v>
      </c>
      <c r="O115" s="7">
        <v>271</v>
      </c>
      <c r="P115" s="7">
        <v>753</v>
      </c>
      <c r="Q115" s="7">
        <v>1199</v>
      </c>
    </row>
    <row r="116" spans="1:17" x14ac:dyDescent="0.25">
      <c r="A116" s="5" t="s">
        <v>47</v>
      </c>
      <c r="B116" s="6">
        <v>245</v>
      </c>
      <c r="C116" s="7" t="str" cm="1">
        <f t="array" ref="C116">_xlfn.IFS(B116 &lt;= 567, "Cheap", B116 &lt;= 1033, "Medium", TRUE, "Higher")</f>
        <v>Cheap</v>
      </c>
      <c r="O116" s="7">
        <v>275</v>
      </c>
      <c r="P116" s="7">
        <v>754</v>
      </c>
      <c r="Q116" s="7">
        <v>1204</v>
      </c>
    </row>
    <row r="117" spans="1:17" x14ac:dyDescent="0.25">
      <c r="A117" s="5" t="s">
        <v>47</v>
      </c>
      <c r="B117" s="6">
        <v>255</v>
      </c>
      <c r="C117" s="7" t="str" cm="1">
        <f t="array" ref="C117">_xlfn.IFS(B117 &lt;= 567, "Cheap", B117 &lt;= 1033, "Medium", TRUE, "Higher")</f>
        <v>Cheap</v>
      </c>
      <c r="O117" s="7">
        <v>277</v>
      </c>
      <c r="P117" s="7">
        <v>758</v>
      </c>
      <c r="Q117" s="7">
        <v>1206</v>
      </c>
    </row>
    <row r="118" spans="1:17" x14ac:dyDescent="0.25">
      <c r="A118" s="5" t="s">
        <v>47</v>
      </c>
      <c r="B118" s="6">
        <v>262</v>
      </c>
      <c r="C118" s="7" t="str" cm="1">
        <f t="array" ref="C118">_xlfn.IFS(B118 &lt;= 567, "Cheap", B118 &lt;= 1033, "Medium", TRUE, "Higher")</f>
        <v>Cheap</v>
      </c>
      <c r="O118" s="7">
        <v>278</v>
      </c>
      <c r="P118" s="7">
        <v>760</v>
      </c>
      <c r="Q118" s="7">
        <v>1209</v>
      </c>
    </row>
    <row r="119" spans="1:17" x14ac:dyDescent="0.25">
      <c r="A119" s="5" t="s">
        <v>47</v>
      </c>
      <c r="B119" s="6">
        <v>270</v>
      </c>
      <c r="C119" s="7" t="str" cm="1">
        <f t="array" ref="C119">_xlfn.IFS(B119 &lt;= 567, "Cheap", B119 &lt;= 1033, "Medium", TRUE, "Higher")</f>
        <v>Cheap</v>
      </c>
      <c r="O119" s="7">
        <v>279</v>
      </c>
      <c r="P119" s="7">
        <v>761</v>
      </c>
      <c r="Q119" s="7">
        <v>1210</v>
      </c>
    </row>
    <row r="120" spans="1:17" x14ac:dyDescent="0.25">
      <c r="A120" s="5" t="s">
        <v>47</v>
      </c>
      <c r="B120" s="6">
        <v>279</v>
      </c>
      <c r="C120" s="7" t="str" cm="1">
        <f t="array" ref="C120">_xlfn.IFS(B120 &lt;= 567, "Cheap", B120 &lt;= 1033, "Medium", TRUE, "Higher")</f>
        <v>Cheap</v>
      </c>
      <c r="O120" s="7">
        <v>281</v>
      </c>
      <c r="P120" s="7">
        <v>768</v>
      </c>
      <c r="Q120" s="7">
        <v>1211</v>
      </c>
    </row>
    <row r="121" spans="1:17" x14ac:dyDescent="0.25">
      <c r="A121" s="5" t="s">
        <v>47</v>
      </c>
      <c r="B121" s="6">
        <v>291</v>
      </c>
      <c r="C121" s="7" t="str" cm="1">
        <f t="array" ref="C121">_xlfn.IFS(B121 &lt;= 567, "Cheap", B121 &lt;= 1033, "Medium", TRUE, "Higher")</f>
        <v>Cheap</v>
      </c>
      <c r="O121" s="7">
        <v>282</v>
      </c>
      <c r="P121" s="7">
        <v>769</v>
      </c>
      <c r="Q121" s="7">
        <v>1215</v>
      </c>
    </row>
    <row r="122" spans="1:17" x14ac:dyDescent="0.25">
      <c r="A122" s="5" t="s">
        <v>47</v>
      </c>
      <c r="B122" s="6">
        <v>299</v>
      </c>
      <c r="C122" s="7" t="str" cm="1">
        <f t="array" ref="C122">_xlfn.IFS(B122 &lt;= 567, "Cheap", B122 &lt;= 1033, "Medium", TRUE, "Higher")</f>
        <v>Cheap</v>
      </c>
      <c r="O122" s="7">
        <v>284</v>
      </c>
      <c r="P122" s="7">
        <v>770</v>
      </c>
      <c r="Q122" s="7">
        <v>1218</v>
      </c>
    </row>
    <row r="123" spans="1:17" x14ac:dyDescent="0.25">
      <c r="A123" s="5" t="s">
        <v>47</v>
      </c>
      <c r="B123" s="6">
        <v>304</v>
      </c>
      <c r="C123" s="7" t="str" cm="1">
        <f t="array" ref="C123">_xlfn.IFS(B123 &lt;= 567, "Cheap", B123 &lt;= 1033, "Medium", TRUE, "Higher")</f>
        <v>Cheap</v>
      </c>
      <c r="O123" s="7">
        <v>287</v>
      </c>
      <c r="P123" s="7">
        <v>773</v>
      </c>
      <c r="Q123" s="7">
        <v>1220</v>
      </c>
    </row>
    <row r="124" spans="1:17" x14ac:dyDescent="0.25">
      <c r="A124" s="5" t="s">
        <v>47</v>
      </c>
      <c r="B124" s="6">
        <v>304</v>
      </c>
      <c r="C124" s="7" t="str" cm="1">
        <f t="array" ref="C124">_xlfn.IFS(B124 &lt;= 567, "Cheap", B124 &lt;= 1033, "Medium", TRUE, "Higher")</f>
        <v>Cheap</v>
      </c>
      <c r="O124" s="7">
        <v>288</v>
      </c>
      <c r="P124" s="7">
        <v>774</v>
      </c>
      <c r="Q124" s="7">
        <v>1221</v>
      </c>
    </row>
    <row r="125" spans="1:17" x14ac:dyDescent="0.25">
      <c r="A125" s="5" t="s">
        <v>47</v>
      </c>
      <c r="B125" s="6">
        <v>310</v>
      </c>
      <c r="C125" s="7" t="str" cm="1">
        <f t="array" ref="C125">_xlfn.IFS(B125 &lt;= 567, "Cheap", B125 &lt;= 1033, "Medium", TRUE, "Higher")</f>
        <v>Cheap</v>
      </c>
      <c r="O125" s="7">
        <v>289</v>
      </c>
      <c r="P125" s="7">
        <v>776</v>
      </c>
      <c r="Q125" s="7">
        <v>1222</v>
      </c>
    </row>
    <row r="126" spans="1:17" x14ac:dyDescent="0.25">
      <c r="A126" s="5" t="s">
        <v>47</v>
      </c>
      <c r="B126" s="6">
        <v>325</v>
      </c>
      <c r="C126" s="7" t="str" cm="1">
        <f t="array" ref="C126">_xlfn.IFS(B126 &lt;= 567, "Cheap", B126 &lt;= 1033, "Medium", TRUE, "Higher")</f>
        <v>Cheap</v>
      </c>
      <c r="O126" s="7">
        <v>290</v>
      </c>
      <c r="P126" s="7">
        <v>777</v>
      </c>
      <c r="Q126" s="7">
        <v>1223</v>
      </c>
    </row>
    <row r="127" spans="1:17" x14ac:dyDescent="0.25">
      <c r="A127" s="5" t="s">
        <v>47</v>
      </c>
      <c r="B127" s="6">
        <v>327</v>
      </c>
      <c r="C127" s="7" t="str" cm="1">
        <f t="array" ref="C127">_xlfn.IFS(B127 &lt;= 567, "Cheap", B127 &lt;= 1033, "Medium", TRUE, "Higher")</f>
        <v>Cheap</v>
      </c>
      <c r="O127" s="7">
        <v>291</v>
      </c>
      <c r="P127" s="7">
        <v>779</v>
      </c>
      <c r="Q127" s="7">
        <v>1224</v>
      </c>
    </row>
    <row r="128" spans="1:17" x14ac:dyDescent="0.25">
      <c r="A128" s="5" t="s">
        <v>47</v>
      </c>
      <c r="B128" s="6">
        <v>342</v>
      </c>
      <c r="C128" s="7" t="str" cm="1">
        <f t="array" ref="C128">_xlfn.IFS(B128 &lt;= 567, "Cheap", B128 &lt;= 1033, "Medium", TRUE, "Higher")</f>
        <v>Cheap</v>
      </c>
      <c r="O128" s="7">
        <v>292</v>
      </c>
      <c r="P128" s="7">
        <v>781</v>
      </c>
      <c r="Q128" s="7">
        <v>1225</v>
      </c>
    </row>
    <row r="129" spans="1:17" x14ac:dyDescent="0.25">
      <c r="A129" s="5" t="s">
        <v>47</v>
      </c>
      <c r="B129" s="6">
        <v>429</v>
      </c>
      <c r="C129" s="7" t="str" cm="1">
        <f t="array" ref="C129">_xlfn.IFS(B129 &lt;= 567, "Cheap", B129 &lt;= 1033, "Medium", TRUE, "Higher")</f>
        <v>Cheap</v>
      </c>
      <c r="O129" s="7">
        <v>297</v>
      </c>
      <c r="P129" s="7">
        <v>785</v>
      </c>
      <c r="Q129" s="7">
        <v>1229</v>
      </c>
    </row>
    <row r="130" spans="1:17" x14ac:dyDescent="0.25">
      <c r="A130" s="5" t="s">
        <v>47</v>
      </c>
      <c r="B130" s="6">
        <v>437</v>
      </c>
      <c r="C130" s="7" t="str" cm="1">
        <f t="array" ref="C130">_xlfn.IFS(B130 &lt;= 567, "Cheap", B130 &lt;= 1033, "Medium", TRUE, "Higher")</f>
        <v>Cheap</v>
      </c>
      <c r="O130" s="7">
        <v>298</v>
      </c>
      <c r="P130" s="7">
        <v>787</v>
      </c>
      <c r="Q130" s="7">
        <v>1230</v>
      </c>
    </row>
    <row r="131" spans="1:17" x14ac:dyDescent="0.25">
      <c r="A131" s="5" t="s">
        <v>47</v>
      </c>
      <c r="B131" s="6">
        <v>440</v>
      </c>
      <c r="C131" s="7" t="str" cm="1">
        <f t="array" ref="C131">_xlfn.IFS(B131 &lt;= 567, "Cheap", B131 &lt;= 1033, "Medium", TRUE, "Higher")</f>
        <v>Cheap</v>
      </c>
      <c r="O131" s="7">
        <v>299</v>
      </c>
      <c r="P131" s="7">
        <v>788</v>
      </c>
      <c r="Q131" s="7">
        <v>1231</v>
      </c>
    </row>
    <row r="132" spans="1:17" x14ac:dyDescent="0.25">
      <c r="A132" s="5" t="s">
        <v>47</v>
      </c>
      <c r="B132" s="6">
        <v>450</v>
      </c>
      <c r="C132" s="7" t="str" cm="1">
        <f t="array" ref="C132">_xlfn.IFS(B132 &lt;= 567, "Cheap", B132 &lt;= 1033, "Medium", TRUE, "Higher")</f>
        <v>Cheap</v>
      </c>
      <c r="O132" s="7">
        <v>300</v>
      </c>
      <c r="P132" s="7">
        <v>789</v>
      </c>
      <c r="Q132" s="7">
        <v>1233</v>
      </c>
    </row>
    <row r="133" spans="1:17" x14ac:dyDescent="0.25">
      <c r="A133" s="5" t="s">
        <v>47</v>
      </c>
      <c r="B133" s="6">
        <v>463</v>
      </c>
      <c r="C133" s="7" t="str" cm="1">
        <f t="array" ref="C133">_xlfn.IFS(B133 &lt;= 567, "Cheap", B133 &lt;= 1033, "Medium", TRUE, "Higher")</f>
        <v>Cheap</v>
      </c>
      <c r="O133" s="7">
        <v>302</v>
      </c>
      <c r="P133" s="7">
        <v>790</v>
      </c>
      <c r="Q133" s="7">
        <v>1234</v>
      </c>
    </row>
    <row r="134" spans="1:17" x14ac:dyDescent="0.25">
      <c r="A134" s="5" t="s">
        <v>47</v>
      </c>
      <c r="B134" s="6">
        <v>475</v>
      </c>
      <c r="C134" s="7" t="str" cm="1">
        <f t="array" ref="C134">_xlfn.IFS(B134 &lt;= 567, "Cheap", B134 &lt;= 1033, "Medium", TRUE, "Higher")</f>
        <v>Cheap</v>
      </c>
      <c r="O134" s="7">
        <v>304</v>
      </c>
      <c r="P134" s="7">
        <v>792</v>
      </c>
      <c r="Q134" s="7">
        <v>1235</v>
      </c>
    </row>
    <row r="135" spans="1:17" x14ac:dyDescent="0.25">
      <c r="A135" s="5" t="s">
        <v>47</v>
      </c>
      <c r="B135" s="6">
        <v>491</v>
      </c>
      <c r="C135" s="7" t="str" cm="1">
        <f t="array" ref="C135">_xlfn.IFS(B135 &lt;= 567, "Cheap", B135 &lt;= 1033, "Medium", TRUE, "Higher")</f>
        <v>Cheap</v>
      </c>
      <c r="O135" s="7">
        <v>307</v>
      </c>
      <c r="P135" s="7">
        <v>793</v>
      </c>
      <c r="Q135" s="7">
        <v>1236</v>
      </c>
    </row>
    <row r="136" spans="1:17" x14ac:dyDescent="0.25">
      <c r="A136" s="5" t="s">
        <v>47</v>
      </c>
      <c r="B136" s="6">
        <v>508</v>
      </c>
      <c r="C136" s="7" t="str" cm="1">
        <f t="array" ref="C136">_xlfn.IFS(B136 &lt;= 567, "Cheap", B136 &lt;= 1033, "Medium", TRUE, "Higher")</f>
        <v>Cheap</v>
      </c>
      <c r="O136" s="7">
        <v>310</v>
      </c>
      <c r="P136" s="7">
        <v>794</v>
      </c>
      <c r="Q136" s="7">
        <v>1238</v>
      </c>
    </row>
    <row r="137" spans="1:17" x14ac:dyDescent="0.25">
      <c r="A137" s="5" t="s">
        <v>47</v>
      </c>
      <c r="B137" s="6">
        <v>523</v>
      </c>
      <c r="C137" s="7" t="str" cm="1">
        <f t="array" ref="C137">_xlfn.IFS(B137 &lt;= 567, "Cheap", B137 &lt;= 1033, "Medium", TRUE, "Higher")</f>
        <v>Cheap</v>
      </c>
      <c r="O137" s="7">
        <v>311</v>
      </c>
      <c r="P137" s="7">
        <v>795</v>
      </c>
      <c r="Q137" s="7">
        <v>1241</v>
      </c>
    </row>
    <row r="138" spans="1:17" x14ac:dyDescent="0.25">
      <c r="A138" s="5" t="s">
        <v>47</v>
      </c>
      <c r="B138" s="6">
        <v>547</v>
      </c>
      <c r="C138" s="7" t="str" cm="1">
        <f t="array" ref="C138">_xlfn.IFS(B138 &lt;= 567, "Cheap", B138 &lt;= 1033, "Medium", TRUE, "Higher")</f>
        <v>Cheap</v>
      </c>
      <c r="O138" s="7">
        <v>312</v>
      </c>
      <c r="P138" s="7">
        <v>799</v>
      </c>
      <c r="Q138" s="7">
        <v>1246</v>
      </c>
    </row>
    <row r="139" spans="1:17" x14ac:dyDescent="0.25">
      <c r="A139" s="5" t="s">
        <v>16</v>
      </c>
      <c r="B139" s="6">
        <v>102</v>
      </c>
      <c r="C139" s="7" t="str" cm="1">
        <f t="array" ref="C139">_xlfn.IFS(B139 &lt;= 567, "Cheap", B139 &lt;= 1033, "Medium", TRUE, "Higher")</f>
        <v>Cheap</v>
      </c>
      <c r="O139" s="7">
        <v>313</v>
      </c>
      <c r="P139" s="7">
        <v>800</v>
      </c>
      <c r="Q139" s="7">
        <v>1247</v>
      </c>
    </row>
    <row r="140" spans="1:17" x14ac:dyDescent="0.25">
      <c r="A140" s="5" t="s">
        <v>16</v>
      </c>
      <c r="B140" s="6">
        <v>107</v>
      </c>
      <c r="C140" s="7" t="str" cm="1">
        <f t="array" ref="C140">_xlfn.IFS(B140 &lt;= 567, "Cheap", B140 &lt;= 1033, "Medium", TRUE, "Higher")</f>
        <v>Cheap</v>
      </c>
      <c r="O140" s="7">
        <v>314</v>
      </c>
      <c r="P140" s="7">
        <v>803</v>
      </c>
      <c r="Q140" s="7">
        <v>1249</v>
      </c>
    </row>
    <row r="141" spans="1:17" x14ac:dyDescent="0.25">
      <c r="A141" s="5" t="s">
        <v>16</v>
      </c>
      <c r="B141" s="6">
        <v>118</v>
      </c>
      <c r="C141" s="7" t="str" cm="1">
        <f t="array" ref="C141">_xlfn.IFS(B141 &lt;= 567, "Cheap", B141 &lt;= 1033, "Medium", TRUE, "Higher")</f>
        <v>Cheap</v>
      </c>
      <c r="O141" s="7">
        <v>316</v>
      </c>
      <c r="P141" s="7">
        <v>804</v>
      </c>
      <c r="Q141" s="7">
        <v>1250</v>
      </c>
    </row>
    <row r="142" spans="1:17" x14ac:dyDescent="0.25">
      <c r="A142" s="5" t="s">
        <v>16</v>
      </c>
      <c r="B142" s="6">
        <v>118</v>
      </c>
      <c r="C142" s="7" t="str" cm="1">
        <f t="array" ref="C142">_xlfn.IFS(B142 &lt;= 567, "Cheap", B142 &lt;= 1033, "Medium", TRUE, "Higher")</f>
        <v>Cheap</v>
      </c>
      <c r="O142" s="7">
        <v>317</v>
      </c>
      <c r="P142" s="7">
        <v>808</v>
      </c>
      <c r="Q142" s="7">
        <v>1251</v>
      </c>
    </row>
    <row r="143" spans="1:17" x14ac:dyDescent="0.25">
      <c r="A143" s="5" t="s">
        <v>16</v>
      </c>
      <c r="B143" s="6">
        <v>135</v>
      </c>
      <c r="C143" s="7" t="str" cm="1">
        <f t="array" ref="C143">_xlfn.IFS(B143 &lt;= 567, "Cheap", B143 &lt;= 1033, "Medium", TRUE, "Higher")</f>
        <v>Cheap</v>
      </c>
      <c r="O143" s="7">
        <v>318</v>
      </c>
      <c r="P143" s="7">
        <v>809</v>
      </c>
      <c r="Q143" s="7">
        <v>1252</v>
      </c>
    </row>
    <row r="144" spans="1:17" x14ac:dyDescent="0.25">
      <c r="A144" s="5" t="s">
        <v>16</v>
      </c>
      <c r="B144" s="6">
        <v>141</v>
      </c>
      <c r="C144" s="7" t="str" cm="1">
        <f t="array" ref="C144">_xlfn.IFS(B144 &lt;= 567, "Cheap", B144 &lt;= 1033, "Medium", TRUE, "Higher")</f>
        <v>Cheap</v>
      </c>
      <c r="O144" s="7">
        <v>319</v>
      </c>
      <c r="P144" s="7">
        <v>811</v>
      </c>
      <c r="Q144" s="7">
        <v>1255</v>
      </c>
    </row>
    <row r="145" spans="1:17" x14ac:dyDescent="0.25">
      <c r="A145" s="5" t="s">
        <v>16</v>
      </c>
      <c r="B145" s="6">
        <v>166</v>
      </c>
      <c r="C145" s="7" t="str" cm="1">
        <f t="array" ref="C145">_xlfn.IFS(B145 &lt;= 567, "Cheap", B145 &lt;= 1033, "Medium", TRUE, "Higher")</f>
        <v>Cheap</v>
      </c>
      <c r="O145" s="7">
        <v>320</v>
      </c>
      <c r="P145" s="7">
        <v>814</v>
      </c>
      <c r="Q145" s="7">
        <v>1256</v>
      </c>
    </row>
    <row r="146" spans="1:17" x14ac:dyDescent="0.25">
      <c r="A146" s="5" t="s">
        <v>16</v>
      </c>
      <c r="B146" s="6">
        <v>166</v>
      </c>
      <c r="C146" s="7" t="str" cm="1">
        <f t="array" ref="C146">_xlfn.IFS(B146 &lt;= 567, "Cheap", B146 &lt;= 1033, "Medium", TRUE, "Higher")</f>
        <v>Cheap</v>
      </c>
      <c r="O146" s="7">
        <v>325</v>
      </c>
      <c r="P146" s="7">
        <v>815</v>
      </c>
      <c r="Q146" s="7">
        <v>1257</v>
      </c>
    </row>
    <row r="147" spans="1:17" x14ac:dyDescent="0.25">
      <c r="A147" s="5" t="s">
        <v>16</v>
      </c>
      <c r="B147" s="6">
        <v>178</v>
      </c>
      <c r="C147" s="7" t="str" cm="1">
        <f t="array" ref="C147">_xlfn.IFS(B147 &lt;= 567, "Cheap", B147 &lt;= 1033, "Medium", TRUE, "Higher")</f>
        <v>Cheap</v>
      </c>
      <c r="O147" s="7">
        <v>327</v>
      </c>
      <c r="P147" s="7">
        <v>817</v>
      </c>
      <c r="Q147" s="7">
        <v>1258</v>
      </c>
    </row>
    <row r="148" spans="1:17" x14ac:dyDescent="0.25">
      <c r="A148" s="5" t="s">
        <v>16</v>
      </c>
      <c r="B148" s="6">
        <v>179</v>
      </c>
      <c r="C148" s="7" t="str" cm="1">
        <f t="array" ref="C148">_xlfn.IFS(B148 &lt;= 567, "Cheap", B148 &lt;= 1033, "Medium", TRUE, "Higher")</f>
        <v>Cheap</v>
      </c>
      <c r="O148" s="7">
        <v>328</v>
      </c>
      <c r="P148" s="7">
        <v>818</v>
      </c>
      <c r="Q148" s="7">
        <v>1261</v>
      </c>
    </row>
    <row r="149" spans="1:17" x14ac:dyDescent="0.25">
      <c r="A149" s="5" t="s">
        <v>16</v>
      </c>
      <c r="B149" s="6">
        <v>186</v>
      </c>
      <c r="C149" s="7" t="str" cm="1">
        <f t="array" ref="C149">_xlfn.IFS(B149 &lt;= 567, "Cheap", B149 &lt;= 1033, "Medium", TRUE, "Higher")</f>
        <v>Cheap</v>
      </c>
      <c r="O149" s="7">
        <v>329</v>
      </c>
      <c r="P149" s="7">
        <v>820</v>
      </c>
      <c r="Q149" s="7">
        <v>1267</v>
      </c>
    </row>
    <row r="150" spans="1:17" x14ac:dyDescent="0.25">
      <c r="A150" s="5" t="s">
        <v>16</v>
      </c>
      <c r="B150" s="6">
        <v>188</v>
      </c>
      <c r="C150" s="7" t="str" cm="1">
        <f t="array" ref="C150">_xlfn.IFS(B150 &lt;= 567, "Cheap", B150 &lt;= 1033, "Medium", TRUE, "Higher")</f>
        <v>Cheap</v>
      </c>
      <c r="O150" s="7">
        <v>335</v>
      </c>
      <c r="P150" s="7">
        <v>821</v>
      </c>
      <c r="Q150" s="7">
        <v>1269</v>
      </c>
    </row>
    <row r="151" spans="1:17" x14ac:dyDescent="0.25">
      <c r="A151" s="5" t="s">
        <v>16</v>
      </c>
      <c r="B151" s="6">
        <v>197</v>
      </c>
      <c r="C151" s="7" t="str" cm="1">
        <f t="array" ref="C151">_xlfn.IFS(B151 &lt;= 567, "Cheap", B151 &lt;= 1033, "Medium", TRUE, "Higher")</f>
        <v>Cheap</v>
      </c>
      <c r="O151" s="7">
        <v>336</v>
      </c>
      <c r="P151" s="7">
        <v>823</v>
      </c>
      <c r="Q151" s="7">
        <v>1271</v>
      </c>
    </row>
    <row r="152" spans="1:17" x14ac:dyDescent="0.25">
      <c r="A152" s="5" t="s">
        <v>16</v>
      </c>
      <c r="B152" s="6">
        <v>202</v>
      </c>
      <c r="C152" s="7" t="str" cm="1">
        <f t="array" ref="C152">_xlfn.IFS(B152 &lt;= 567, "Cheap", B152 &lt;= 1033, "Medium", TRUE, "Higher")</f>
        <v>Cheap</v>
      </c>
      <c r="O152" s="7">
        <v>342</v>
      </c>
      <c r="P152" s="7">
        <v>824</v>
      </c>
      <c r="Q152" s="7">
        <v>1273</v>
      </c>
    </row>
    <row r="153" spans="1:17" x14ac:dyDescent="0.25">
      <c r="A153" s="5" t="s">
        <v>16</v>
      </c>
      <c r="B153" s="6">
        <v>209</v>
      </c>
      <c r="C153" s="7" t="str" cm="1">
        <f t="array" ref="C153">_xlfn.IFS(B153 &lt;= 567, "Cheap", B153 &lt;= 1033, "Medium", TRUE, "Higher")</f>
        <v>Cheap</v>
      </c>
      <c r="O153" s="7">
        <v>343</v>
      </c>
      <c r="P153" s="7">
        <v>825</v>
      </c>
      <c r="Q153" s="7">
        <v>1274</v>
      </c>
    </row>
    <row r="154" spans="1:17" x14ac:dyDescent="0.25">
      <c r="A154" s="5" t="s">
        <v>16</v>
      </c>
      <c r="B154" s="6">
        <v>224</v>
      </c>
      <c r="C154" s="7" t="str" cm="1">
        <f t="array" ref="C154">_xlfn.IFS(B154 &lt;= 567, "Cheap", B154 &lt;= 1033, "Medium", TRUE, "Higher")</f>
        <v>Cheap</v>
      </c>
      <c r="O154" s="7">
        <v>344</v>
      </c>
      <c r="P154" s="7">
        <v>827</v>
      </c>
      <c r="Q154" s="7">
        <v>1275</v>
      </c>
    </row>
    <row r="155" spans="1:17" x14ac:dyDescent="0.25">
      <c r="A155" s="5" t="s">
        <v>16</v>
      </c>
      <c r="B155" s="6">
        <v>238</v>
      </c>
      <c r="C155" s="7" t="str" cm="1">
        <f t="array" ref="C155">_xlfn.IFS(B155 &lt;= 567, "Cheap", B155 &lt;= 1033, "Medium", TRUE, "Higher")</f>
        <v>Cheap</v>
      </c>
      <c r="O155" s="7">
        <v>348</v>
      </c>
      <c r="P155" s="7">
        <v>830</v>
      </c>
      <c r="Q155" s="7">
        <v>1276</v>
      </c>
    </row>
    <row r="156" spans="1:17" x14ac:dyDescent="0.25">
      <c r="A156" s="5" t="s">
        <v>16</v>
      </c>
      <c r="B156" s="6">
        <v>258</v>
      </c>
      <c r="C156" s="7" t="str" cm="1">
        <f t="array" ref="C156">_xlfn.IFS(B156 &lt;= 567, "Cheap", B156 &lt;= 1033, "Medium", TRUE, "Higher")</f>
        <v>Cheap</v>
      </c>
      <c r="O156" s="7">
        <v>349</v>
      </c>
      <c r="P156" s="7">
        <v>833</v>
      </c>
      <c r="Q156" s="7">
        <v>1277</v>
      </c>
    </row>
    <row r="157" spans="1:17" x14ac:dyDescent="0.25">
      <c r="A157" s="5" t="s">
        <v>16</v>
      </c>
      <c r="B157" s="6">
        <v>289</v>
      </c>
      <c r="C157" s="7" t="str" cm="1">
        <f t="array" ref="C157">_xlfn.IFS(B157 &lt;= 567, "Cheap", B157 &lt;= 1033, "Medium", TRUE, "Higher")</f>
        <v>Cheap</v>
      </c>
      <c r="O157" s="7">
        <v>350</v>
      </c>
      <c r="P157" s="7">
        <v>834</v>
      </c>
      <c r="Q157" s="7">
        <v>1278</v>
      </c>
    </row>
    <row r="158" spans="1:17" x14ac:dyDescent="0.25">
      <c r="A158" s="5" t="s">
        <v>16</v>
      </c>
      <c r="B158" s="6">
        <v>316</v>
      </c>
      <c r="C158" s="7" t="str" cm="1">
        <f t="array" ref="C158">_xlfn.IFS(B158 &lt;= 567, "Cheap", B158 &lt;= 1033, "Medium", TRUE, "Higher")</f>
        <v>Cheap</v>
      </c>
      <c r="O158" s="7">
        <v>355</v>
      </c>
      <c r="P158" s="7">
        <v>835</v>
      </c>
      <c r="Q158" s="7">
        <v>1279</v>
      </c>
    </row>
    <row r="159" spans="1:17" x14ac:dyDescent="0.25">
      <c r="A159" s="5" t="s">
        <v>16</v>
      </c>
      <c r="B159" s="6">
        <v>319</v>
      </c>
      <c r="C159" s="7" t="str" cm="1">
        <f t="array" ref="C159">_xlfn.IFS(B159 &lt;= 567, "Cheap", B159 &lt;= 1033, "Medium", TRUE, "Higher")</f>
        <v>Cheap</v>
      </c>
      <c r="O159" s="7">
        <v>356</v>
      </c>
      <c r="P159" s="7">
        <v>836</v>
      </c>
      <c r="Q159" s="7">
        <v>1282</v>
      </c>
    </row>
    <row r="160" spans="1:17" x14ac:dyDescent="0.25">
      <c r="A160" s="5" t="s">
        <v>16</v>
      </c>
      <c r="B160" s="6">
        <v>350</v>
      </c>
      <c r="C160" s="7" t="str" cm="1">
        <f t="array" ref="C160">_xlfn.IFS(B160 &lt;= 567, "Cheap", B160 &lt;= 1033, "Medium", TRUE, "Higher")</f>
        <v>Cheap</v>
      </c>
      <c r="O160" s="7">
        <v>358</v>
      </c>
      <c r="P160" s="7">
        <v>837</v>
      </c>
      <c r="Q160" s="7">
        <v>1283</v>
      </c>
    </row>
    <row r="161" spans="1:17" x14ac:dyDescent="0.25">
      <c r="A161" s="5" t="s">
        <v>16</v>
      </c>
      <c r="B161" s="6">
        <v>386</v>
      </c>
      <c r="C161" s="7" t="str" cm="1">
        <f t="array" ref="C161">_xlfn.IFS(B161 &lt;= 567, "Cheap", B161 &lt;= 1033, "Medium", TRUE, "Higher")</f>
        <v>Cheap</v>
      </c>
      <c r="O161" s="7">
        <v>359</v>
      </c>
      <c r="P161" s="7">
        <v>840</v>
      </c>
      <c r="Q161" s="7">
        <v>1284</v>
      </c>
    </row>
    <row r="162" spans="1:17" x14ac:dyDescent="0.25">
      <c r="A162" s="5" t="s">
        <v>16</v>
      </c>
      <c r="B162" s="6">
        <v>391</v>
      </c>
      <c r="C162" s="7" t="str" cm="1">
        <f t="array" ref="C162">_xlfn.IFS(B162 &lt;= 567, "Cheap", B162 &lt;= 1033, "Medium", TRUE, "Higher")</f>
        <v>Cheap</v>
      </c>
      <c r="O162" s="7">
        <v>360</v>
      </c>
      <c r="P162" s="7">
        <v>845</v>
      </c>
      <c r="Q162" s="7">
        <v>1285</v>
      </c>
    </row>
    <row r="163" spans="1:17" x14ac:dyDescent="0.25">
      <c r="A163" s="5" t="s">
        <v>16</v>
      </c>
      <c r="B163" s="6">
        <v>410</v>
      </c>
      <c r="C163" s="7" t="str" cm="1">
        <f t="array" ref="C163">_xlfn.IFS(B163 &lt;= 567, "Cheap", B163 &lt;= 1033, "Medium", TRUE, "Higher")</f>
        <v>Cheap</v>
      </c>
      <c r="O163" s="7">
        <v>361</v>
      </c>
      <c r="P163" s="7">
        <v>848</v>
      </c>
      <c r="Q163" s="7">
        <v>1286</v>
      </c>
    </row>
    <row r="164" spans="1:17" x14ac:dyDescent="0.25">
      <c r="A164" s="5" t="s">
        <v>16</v>
      </c>
      <c r="B164" s="6">
        <v>413</v>
      </c>
      <c r="C164" s="7" t="str" cm="1">
        <f t="array" ref="C164">_xlfn.IFS(B164 &lt;= 567, "Cheap", B164 &lt;= 1033, "Medium", TRUE, "Higher")</f>
        <v>Cheap</v>
      </c>
      <c r="O164" s="7">
        <v>363</v>
      </c>
      <c r="P164" s="7">
        <v>849</v>
      </c>
      <c r="Q164" s="7">
        <v>1288</v>
      </c>
    </row>
    <row r="165" spans="1:17" x14ac:dyDescent="0.25">
      <c r="A165" s="5" t="s">
        <v>16</v>
      </c>
      <c r="B165" s="6">
        <v>435</v>
      </c>
      <c r="C165" s="7" t="str" cm="1">
        <f t="array" ref="C165">_xlfn.IFS(B165 &lt;= 567, "Cheap", B165 &lt;= 1033, "Medium", TRUE, "Higher")</f>
        <v>Cheap</v>
      </c>
      <c r="O165" s="7">
        <v>367</v>
      </c>
      <c r="P165" s="7">
        <v>850</v>
      </c>
      <c r="Q165" s="7">
        <v>1291</v>
      </c>
    </row>
    <row r="166" spans="1:17" x14ac:dyDescent="0.25">
      <c r="A166" s="5" t="s">
        <v>16</v>
      </c>
      <c r="B166" s="6">
        <v>444</v>
      </c>
      <c r="C166" s="7" t="str" cm="1">
        <f t="array" ref="C166">_xlfn.IFS(B166 &lt;= 567, "Cheap", B166 &lt;= 1033, "Medium", TRUE, "Higher")</f>
        <v>Cheap</v>
      </c>
      <c r="O166" s="7">
        <v>371</v>
      </c>
      <c r="P166" s="7">
        <v>851</v>
      </c>
      <c r="Q166" s="7">
        <v>1292</v>
      </c>
    </row>
    <row r="167" spans="1:17" x14ac:dyDescent="0.25">
      <c r="A167" s="5" t="s">
        <v>16</v>
      </c>
      <c r="B167" s="6">
        <v>492</v>
      </c>
      <c r="C167" s="7" t="str" cm="1">
        <f t="array" ref="C167">_xlfn.IFS(B167 &lt;= 567, "Cheap", B167 &lt;= 1033, "Medium", TRUE, "Higher")</f>
        <v>Cheap</v>
      </c>
      <c r="O167" s="7">
        <v>373</v>
      </c>
      <c r="P167" s="7">
        <v>852</v>
      </c>
      <c r="Q167" s="7">
        <v>1293</v>
      </c>
    </row>
    <row r="168" spans="1:17" x14ac:dyDescent="0.25">
      <c r="A168" s="5" t="s">
        <v>16</v>
      </c>
      <c r="B168" s="6">
        <v>501</v>
      </c>
      <c r="C168" s="7" t="str" cm="1">
        <f t="array" ref="C168">_xlfn.IFS(B168 &lt;= 567, "Cheap", B168 &lt;= 1033, "Medium", TRUE, "Higher")</f>
        <v>Cheap</v>
      </c>
      <c r="O168" s="7">
        <v>375</v>
      </c>
      <c r="P168" s="7">
        <v>853</v>
      </c>
      <c r="Q168" s="7">
        <v>1294</v>
      </c>
    </row>
    <row r="169" spans="1:17" x14ac:dyDescent="0.25">
      <c r="A169" s="5" t="s">
        <v>16</v>
      </c>
      <c r="B169" s="6">
        <v>521</v>
      </c>
      <c r="C169" s="7" t="str" cm="1">
        <f t="array" ref="C169">_xlfn.IFS(B169 &lt;= 567, "Cheap", B169 &lt;= 1033, "Medium", TRUE, "Higher")</f>
        <v>Cheap</v>
      </c>
      <c r="O169" s="7">
        <v>377</v>
      </c>
      <c r="P169" s="7">
        <v>855</v>
      </c>
      <c r="Q169" s="7">
        <v>1295</v>
      </c>
    </row>
    <row r="170" spans="1:17" x14ac:dyDescent="0.25">
      <c r="A170" s="5" t="s">
        <v>16</v>
      </c>
      <c r="B170" s="6">
        <v>544</v>
      </c>
      <c r="C170" s="7" t="str" cm="1">
        <f t="array" ref="C170">_xlfn.IFS(B170 &lt;= 567, "Cheap", B170 &lt;= 1033, "Medium", TRUE, "Higher")</f>
        <v>Cheap</v>
      </c>
      <c r="O170" s="7">
        <v>378</v>
      </c>
      <c r="P170" s="7">
        <v>857</v>
      </c>
      <c r="Q170" s="7">
        <v>1296</v>
      </c>
    </row>
    <row r="171" spans="1:17" x14ac:dyDescent="0.25">
      <c r="A171" s="5" t="s">
        <v>16</v>
      </c>
      <c r="B171" s="6">
        <v>545</v>
      </c>
      <c r="C171" s="7" t="str" cm="1">
        <f t="array" ref="C171">_xlfn.IFS(B171 &lt;= 567, "Cheap", B171 &lt;= 1033, "Medium", TRUE, "Higher")</f>
        <v>Cheap</v>
      </c>
      <c r="O171" s="7">
        <v>380</v>
      </c>
      <c r="P171" s="7">
        <v>858</v>
      </c>
      <c r="Q171" s="7">
        <v>1298</v>
      </c>
    </row>
    <row r="172" spans="1:17" x14ac:dyDescent="0.25">
      <c r="A172" s="5" t="s">
        <v>16</v>
      </c>
      <c r="B172" s="6">
        <v>567</v>
      </c>
      <c r="C172" s="7" t="str" cm="1">
        <f t="array" ref="C172">_xlfn.IFS(B172 &lt;= 567, "Cheap", B172 &lt;= 1033, "Medium", TRUE, "Higher")</f>
        <v>Cheap</v>
      </c>
      <c r="O172" s="7">
        <v>383</v>
      </c>
      <c r="P172" s="7">
        <v>868</v>
      </c>
      <c r="Q172" s="7">
        <v>1300</v>
      </c>
    </row>
    <row r="173" spans="1:17" x14ac:dyDescent="0.25">
      <c r="A173" s="5" t="s">
        <v>11</v>
      </c>
      <c r="B173" s="6">
        <v>101</v>
      </c>
      <c r="C173" s="7" t="str" cm="1">
        <f t="array" ref="C173">_xlfn.IFS(B173 &lt;= 567, "Cheap", B173 &lt;= 1033, "Medium", TRUE, "Higher")</f>
        <v>Cheap</v>
      </c>
      <c r="O173" s="7">
        <v>385</v>
      </c>
      <c r="P173" s="7">
        <v>873</v>
      </c>
      <c r="Q173" s="7">
        <v>1301</v>
      </c>
    </row>
    <row r="174" spans="1:17" x14ac:dyDescent="0.25">
      <c r="A174" s="5" t="s">
        <v>11</v>
      </c>
      <c r="B174" s="6">
        <v>110</v>
      </c>
      <c r="C174" s="7" t="str" cm="1">
        <f t="array" ref="C174">_xlfn.IFS(B174 &lt;= 567, "Cheap", B174 &lt;= 1033, "Medium", TRUE, "Higher")</f>
        <v>Cheap</v>
      </c>
      <c r="O174" s="7">
        <v>386</v>
      </c>
      <c r="P174" s="7">
        <v>875</v>
      </c>
      <c r="Q174" s="7">
        <v>1302</v>
      </c>
    </row>
    <row r="175" spans="1:17" x14ac:dyDescent="0.25">
      <c r="A175" s="5" t="s">
        <v>11</v>
      </c>
      <c r="B175" s="6">
        <v>111</v>
      </c>
      <c r="C175" s="7" t="str" cm="1">
        <f t="array" ref="C175">_xlfn.IFS(B175 &lt;= 567, "Cheap", B175 &lt;= 1033, "Medium", TRUE, "Higher")</f>
        <v>Cheap</v>
      </c>
      <c r="O175" s="7">
        <v>389</v>
      </c>
      <c r="P175" s="7">
        <v>876</v>
      </c>
      <c r="Q175" s="7">
        <v>1303</v>
      </c>
    </row>
    <row r="176" spans="1:17" x14ac:dyDescent="0.25">
      <c r="A176" s="5" t="s">
        <v>11</v>
      </c>
      <c r="B176" s="6">
        <v>112</v>
      </c>
      <c r="C176" s="7" t="str" cm="1">
        <f t="array" ref="C176">_xlfn.IFS(B176 &lt;= 567, "Cheap", B176 &lt;= 1033, "Medium", TRUE, "Higher")</f>
        <v>Cheap</v>
      </c>
      <c r="O176" s="7">
        <v>391</v>
      </c>
      <c r="P176" s="7">
        <v>880</v>
      </c>
      <c r="Q176" s="7">
        <v>1309</v>
      </c>
    </row>
    <row r="177" spans="1:17" x14ac:dyDescent="0.25">
      <c r="A177" s="5" t="s">
        <v>11</v>
      </c>
      <c r="B177" s="6">
        <v>175</v>
      </c>
      <c r="C177" s="7" t="str" cm="1">
        <f t="array" ref="C177">_xlfn.IFS(B177 &lt;= 567, "Cheap", B177 &lt;= 1033, "Medium", TRUE, "Higher")</f>
        <v>Cheap</v>
      </c>
      <c r="O177" s="7">
        <v>394</v>
      </c>
      <c r="P177" s="7">
        <v>881</v>
      </c>
      <c r="Q177" s="7">
        <v>1315</v>
      </c>
    </row>
    <row r="178" spans="1:17" x14ac:dyDescent="0.25">
      <c r="A178" s="5" t="s">
        <v>11</v>
      </c>
      <c r="B178" s="6">
        <v>179</v>
      </c>
      <c r="C178" s="7" t="str" cm="1">
        <f t="array" ref="C178">_xlfn.IFS(B178 &lt;= 567, "Cheap", B178 &lt;= 1033, "Medium", TRUE, "Higher")</f>
        <v>Cheap</v>
      </c>
      <c r="O178" s="7">
        <v>400</v>
      </c>
      <c r="P178" s="7">
        <v>882</v>
      </c>
      <c r="Q178" s="7">
        <v>1316</v>
      </c>
    </row>
    <row r="179" spans="1:17" x14ac:dyDescent="0.25">
      <c r="A179" s="5" t="s">
        <v>11</v>
      </c>
      <c r="B179" s="6">
        <v>208</v>
      </c>
      <c r="C179" s="7" t="str" cm="1">
        <f t="array" ref="C179">_xlfn.IFS(B179 &lt;= 567, "Cheap", B179 &lt;= 1033, "Medium", TRUE, "Higher")</f>
        <v>Cheap</v>
      </c>
      <c r="O179" s="7">
        <v>402</v>
      </c>
      <c r="P179" s="7">
        <v>883</v>
      </c>
      <c r="Q179" s="7">
        <v>1317</v>
      </c>
    </row>
    <row r="180" spans="1:17" x14ac:dyDescent="0.25">
      <c r="A180" s="5" t="s">
        <v>11</v>
      </c>
      <c r="B180" s="6">
        <v>212</v>
      </c>
      <c r="C180" s="7" t="str" cm="1">
        <f t="array" ref="C180">_xlfn.IFS(B180 &lt;= 567, "Cheap", B180 &lt;= 1033, "Medium", TRUE, "Higher")</f>
        <v>Cheap</v>
      </c>
      <c r="O180" s="7">
        <v>404</v>
      </c>
      <c r="P180" s="7">
        <v>884</v>
      </c>
      <c r="Q180" s="7">
        <v>1320</v>
      </c>
    </row>
    <row r="181" spans="1:17" x14ac:dyDescent="0.25">
      <c r="A181" s="5" t="s">
        <v>11</v>
      </c>
      <c r="B181" s="6">
        <v>213</v>
      </c>
      <c r="C181" s="7" t="str" cm="1">
        <f t="array" ref="C181">_xlfn.IFS(B181 &lt;= 567, "Cheap", B181 &lt;= 1033, "Medium", TRUE, "Higher")</f>
        <v>Cheap</v>
      </c>
      <c r="O181" s="7">
        <v>405</v>
      </c>
      <c r="P181" s="7">
        <v>885</v>
      </c>
      <c r="Q181" s="7">
        <v>1321</v>
      </c>
    </row>
    <row r="182" spans="1:17" x14ac:dyDescent="0.25">
      <c r="A182" s="5" t="s">
        <v>11</v>
      </c>
      <c r="B182" s="6">
        <v>221</v>
      </c>
      <c r="C182" s="7" t="str" cm="1">
        <f t="array" ref="C182">_xlfn.IFS(B182 &lt;= 567, "Cheap", B182 &lt;= 1033, "Medium", TRUE, "Higher")</f>
        <v>Cheap</v>
      </c>
      <c r="O182" s="7">
        <v>406</v>
      </c>
      <c r="P182" s="7">
        <v>886</v>
      </c>
      <c r="Q182" s="7">
        <v>1322</v>
      </c>
    </row>
    <row r="183" spans="1:17" x14ac:dyDescent="0.25">
      <c r="A183" s="5" t="s">
        <v>11</v>
      </c>
      <c r="B183" s="6">
        <v>231</v>
      </c>
      <c r="C183" s="7" t="str" cm="1">
        <f t="array" ref="C183">_xlfn.IFS(B183 &lt;= 567, "Cheap", B183 &lt;= 1033, "Medium", TRUE, "Higher")</f>
        <v>Cheap</v>
      </c>
      <c r="O183" s="7">
        <v>408</v>
      </c>
      <c r="P183" s="7">
        <v>888</v>
      </c>
      <c r="Q183" s="7">
        <v>1325</v>
      </c>
    </row>
    <row r="184" spans="1:17" x14ac:dyDescent="0.25">
      <c r="A184" s="5" t="s">
        <v>11</v>
      </c>
      <c r="B184" s="6">
        <v>234</v>
      </c>
      <c r="C184" s="7" t="str" cm="1">
        <f t="array" ref="C184">_xlfn.IFS(B184 &lt;= 567, "Cheap", B184 &lt;= 1033, "Medium", TRUE, "Higher")</f>
        <v>Cheap</v>
      </c>
      <c r="O184" s="7">
        <v>410</v>
      </c>
      <c r="P184" s="7">
        <v>889</v>
      </c>
      <c r="Q184" s="7">
        <v>1326</v>
      </c>
    </row>
    <row r="185" spans="1:17" x14ac:dyDescent="0.25">
      <c r="A185" s="5" t="s">
        <v>11</v>
      </c>
      <c r="B185" s="6">
        <v>236</v>
      </c>
      <c r="C185" s="7" t="str" cm="1">
        <f t="array" ref="C185">_xlfn.IFS(B185 &lt;= 567, "Cheap", B185 &lt;= 1033, "Medium", TRUE, "Higher")</f>
        <v>Cheap</v>
      </c>
      <c r="O185" s="7">
        <v>412</v>
      </c>
      <c r="P185" s="7">
        <v>890</v>
      </c>
      <c r="Q185" s="7">
        <v>1328</v>
      </c>
    </row>
    <row r="186" spans="1:17" x14ac:dyDescent="0.25">
      <c r="A186" s="5" t="s">
        <v>11</v>
      </c>
      <c r="B186" s="6">
        <v>246</v>
      </c>
      <c r="C186" s="7" t="str" cm="1">
        <f t="array" ref="C186">_xlfn.IFS(B186 &lt;= 567, "Cheap", B186 &lt;= 1033, "Medium", TRUE, "Higher")</f>
        <v>Cheap</v>
      </c>
      <c r="O186" s="7">
        <v>413</v>
      </c>
      <c r="P186" s="7">
        <v>892</v>
      </c>
      <c r="Q186" s="7">
        <v>1331</v>
      </c>
    </row>
    <row r="187" spans="1:17" x14ac:dyDescent="0.25">
      <c r="A187" s="5" t="s">
        <v>11</v>
      </c>
      <c r="B187" s="6">
        <v>256</v>
      </c>
      <c r="C187" s="7" t="str" cm="1">
        <f t="array" ref="C187">_xlfn.IFS(B187 &lt;= 567, "Cheap", B187 &lt;= 1033, "Medium", TRUE, "Higher")</f>
        <v>Cheap</v>
      </c>
      <c r="O187" s="7">
        <v>416</v>
      </c>
      <c r="P187" s="7">
        <v>894</v>
      </c>
      <c r="Q187" s="7">
        <v>1332</v>
      </c>
    </row>
    <row r="188" spans="1:17" x14ac:dyDescent="0.25">
      <c r="A188" s="5" t="s">
        <v>11</v>
      </c>
      <c r="B188" s="6">
        <v>264</v>
      </c>
      <c r="C188" s="7" t="str" cm="1">
        <f t="array" ref="C188">_xlfn.IFS(B188 &lt;= 567, "Cheap", B188 &lt;= 1033, "Medium", TRUE, "Higher")</f>
        <v>Cheap</v>
      </c>
      <c r="O188" s="7">
        <v>417</v>
      </c>
      <c r="P188" s="7">
        <v>895</v>
      </c>
      <c r="Q188" s="7">
        <v>1334</v>
      </c>
    </row>
    <row r="189" spans="1:17" x14ac:dyDescent="0.25">
      <c r="A189" s="5" t="s">
        <v>11</v>
      </c>
      <c r="B189" s="6">
        <v>287</v>
      </c>
      <c r="C189" s="7" t="str" cm="1">
        <f t="array" ref="C189">_xlfn.IFS(B189 &lt;= 567, "Cheap", B189 &lt;= 1033, "Medium", TRUE, "Higher")</f>
        <v>Cheap</v>
      </c>
      <c r="O189" s="7">
        <v>418</v>
      </c>
      <c r="P189" s="7">
        <v>896</v>
      </c>
      <c r="Q189" s="7">
        <v>1336</v>
      </c>
    </row>
    <row r="190" spans="1:17" x14ac:dyDescent="0.25">
      <c r="A190" s="5" t="s">
        <v>11</v>
      </c>
      <c r="B190" s="6">
        <v>292</v>
      </c>
      <c r="C190" s="7" t="str" cm="1">
        <f t="array" ref="C190">_xlfn.IFS(B190 &lt;= 567, "Cheap", B190 &lt;= 1033, "Medium", TRUE, "Higher")</f>
        <v>Cheap</v>
      </c>
      <c r="O190" s="7">
        <v>419</v>
      </c>
      <c r="P190" s="7">
        <v>897</v>
      </c>
      <c r="Q190" s="7">
        <v>1337</v>
      </c>
    </row>
    <row r="191" spans="1:17" x14ac:dyDescent="0.25">
      <c r="A191" s="5" t="s">
        <v>11</v>
      </c>
      <c r="B191" s="6">
        <v>298</v>
      </c>
      <c r="C191" s="7" t="str" cm="1">
        <f t="array" ref="C191">_xlfn.IFS(B191 &lt;= 567, "Cheap", B191 &lt;= 1033, "Medium", TRUE, "Higher")</f>
        <v>Cheap</v>
      </c>
      <c r="O191" s="7">
        <v>423</v>
      </c>
      <c r="P191" s="7">
        <v>898</v>
      </c>
      <c r="Q191" s="7">
        <v>1339</v>
      </c>
    </row>
    <row r="192" spans="1:17" x14ac:dyDescent="0.25">
      <c r="A192" s="5" t="s">
        <v>11</v>
      </c>
      <c r="B192" s="6">
        <v>311</v>
      </c>
      <c r="C192" s="7" t="str" cm="1">
        <f t="array" ref="C192">_xlfn.IFS(B192 &lt;= 567, "Cheap", B192 &lt;= 1033, "Medium", TRUE, "Higher")</f>
        <v>Cheap</v>
      </c>
      <c r="O192" s="7">
        <v>427</v>
      </c>
      <c r="P192" s="7">
        <v>899</v>
      </c>
      <c r="Q192" s="7">
        <v>1340</v>
      </c>
    </row>
    <row r="193" spans="1:17" x14ac:dyDescent="0.25">
      <c r="A193" s="5" t="s">
        <v>11</v>
      </c>
      <c r="B193" s="6">
        <v>317</v>
      </c>
      <c r="C193" s="7" t="str" cm="1">
        <f t="array" ref="C193">_xlfn.IFS(B193 &lt;= 567, "Cheap", B193 &lt;= 1033, "Medium", TRUE, "Higher")</f>
        <v>Cheap</v>
      </c>
      <c r="O193" s="7">
        <v>429</v>
      </c>
      <c r="P193" s="7">
        <v>900</v>
      </c>
      <c r="Q193" s="7">
        <v>1342</v>
      </c>
    </row>
    <row r="194" spans="1:17" x14ac:dyDescent="0.25">
      <c r="A194" s="5" t="s">
        <v>11</v>
      </c>
      <c r="B194" s="6">
        <v>342</v>
      </c>
      <c r="C194" s="7" t="str" cm="1">
        <f t="array" ref="C194">_xlfn.IFS(B194 &lt;= 567, "Cheap", B194 &lt;= 1033, "Medium", TRUE, "Higher")</f>
        <v>Cheap</v>
      </c>
      <c r="O194" s="7">
        <v>435</v>
      </c>
      <c r="P194" s="7">
        <v>901</v>
      </c>
      <c r="Q194" s="7">
        <v>1343</v>
      </c>
    </row>
    <row r="195" spans="1:17" x14ac:dyDescent="0.25">
      <c r="A195" s="5" t="s">
        <v>11</v>
      </c>
      <c r="B195" s="6">
        <v>342</v>
      </c>
      <c r="C195" s="7" t="str" cm="1">
        <f t="array" ref="C195">_xlfn.IFS(B195 &lt;= 567, "Cheap", B195 &lt;= 1033, "Medium", TRUE, "Higher")</f>
        <v>Cheap</v>
      </c>
      <c r="O195" s="7">
        <v>436</v>
      </c>
      <c r="P195" s="7">
        <v>909</v>
      </c>
      <c r="Q195" s="7">
        <v>1345</v>
      </c>
    </row>
    <row r="196" spans="1:17" x14ac:dyDescent="0.25">
      <c r="A196" s="5" t="s">
        <v>11</v>
      </c>
      <c r="B196" s="6">
        <v>343</v>
      </c>
      <c r="C196" s="7" t="str" cm="1">
        <f t="array" ref="C196">_xlfn.IFS(B196 &lt;= 567, "Cheap", B196 &lt;= 1033, "Medium", TRUE, "Higher")</f>
        <v>Cheap</v>
      </c>
      <c r="O196" s="7">
        <v>437</v>
      </c>
      <c r="P196" s="7">
        <v>910</v>
      </c>
      <c r="Q196" s="7">
        <v>1346</v>
      </c>
    </row>
    <row r="197" spans="1:17" x14ac:dyDescent="0.25">
      <c r="A197" s="5" t="s">
        <v>11</v>
      </c>
      <c r="B197" s="6">
        <v>360</v>
      </c>
      <c r="C197" s="7" t="str" cm="1">
        <f t="array" ref="C197">_xlfn.IFS(B197 &lt;= 567, "Cheap", B197 &lt;= 1033, "Medium", TRUE, "Higher")</f>
        <v>Cheap</v>
      </c>
      <c r="O197" s="7">
        <v>439</v>
      </c>
      <c r="P197" s="7">
        <v>913</v>
      </c>
      <c r="Q197" s="7">
        <v>1348</v>
      </c>
    </row>
    <row r="198" spans="1:17" x14ac:dyDescent="0.25">
      <c r="A198" s="5" t="s">
        <v>11</v>
      </c>
      <c r="B198" s="6">
        <v>361</v>
      </c>
      <c r="C198" s="7" t="str" cm="1">
        <f t="array" ref="C198">_xlfn.IFS(B198 &lt;= 567, "Cheap", B198 &lt;= 1033, "Medium", TRUE, "Higher")</f>
        <v>Cheap</v>
      </c>
      <c r="O198" s="7">
        <v>440</v>
      </c>
      <c r="P198" s="7">
        <v>917</v>
      </c>
      <c r="Q198" s="7">
        <v>1349</v>
      </c>
    </row>
    <row r="199" spans="1:17" x14ac:dyDescent="0.25">
      <c r="A199" s="5" t="s">
        <v>11</v>
      </c>
      <c r="B199" s="6">
        <v>408</v>
      </c>
      <c r="C199" s="7" t="str" cm="1">
        <f t="array" ref="C199">_xlfn.IFS(B199 &lt;= 567, "Cheap", B199 &lt;= 1033, "Medium", TRUE, "Higher")</f>
        <v>Cheap</v>
      </c>
      <c r="O199" s="7">
        <v>442</v>
      </c>
      <c r="P199" s="7">
        <v>918</v>
      </c>
      <c r="Q199" s="7">
        <v>1350</v>
      </c>
    </row>
    <row r="200" spans="1:17" x14ac:dyDescent="0.25">
      <c r="A200" s="5" t="s">
        <v>11</v>
      </c>
      <c r="B200" s="6">
        <v>410</v>
      </c>
      <c r="C200" s="7" t="str" cm="1">
        <f t="array" ref="C200">_xlfn.IFS(B200 &lt;= 567, "Cheap", B200 &lt;= 1033, "Medium", TRUE, "Higher")</f>
        <v>Cheap</v>
      </c>
      <c r="O200" s="7">
        <v>443</v>
      </c>
      <c r="P200" s="7">
        <v>919</v>
      </c>
      <c r="Q200" s="7">
        <v>1351</v>
      </c>
    </row>
    <row r="201" spans="1:17" x14ac:dyDescent="0.25">
      <c r="A201" s="5" t="s">
        <v>11</v>
      </c>
      <c r="B201" s="6">
        <v>417</v>
      </c>
      <c r="C201" s="7" t="str" cm="1">
        <f t="array" ref="C201">_xlfn.IFS(B201 &lt;= 567, "Cheap", B201 &lt;= 1033, "Medium", TRUE, "Higher")</f>
        <v>Cheap</v>
      </c>
      <c r="O201" s="7">
        <v>444</v>
      </c>
      <c r="P201" s="7">
        <v>920</v>
      </c>
      <c r="Q201" s="7">
        <v>1354</v>
      </c>
    </row>
    <row r="202" spans="1:17" x14ac:dyDescent="0.25">
      <c r="A202" s="5" t="s">
        <v>11</v>
      </c>
      <c r="B202" s="6">
        <v>423</v>
      </c>
      <c r="C202" s="7" t="str" cm="1">
        <f t="array" ref="C202">_xlfn.IFS(B202 &lt;= 567, "Cheap", B202 &lt;= 1033, "Medium", TRUE, "Higher")</f>
        <v>Cheap</v>
      </c>
      <c r="O202" s="7">
        <v>445</v>
      </c>
      <c r="P202" s="7">
        <v>922</v>
      </c>
      <c r="Q202" s="7">
        <v>1356</v>
      </c>
    </row>
    <row r="203" spans="1:17" x14ac:dyDescent="0.25">
      <c r="A203" s="5" t="s">
        <v>11</v>
      </c>
      <c r="B203" s="6">
        <v>437</v>
      </c>
      <c r="C203" s="7" t="str" cm="1">
        <f t="array" ref="C203">_xlfn.IFS(B203 &lt;= 567, "Cheap", B203 &lt;= 1033, "Medium", TRUE, "Higher")</f>
        <v>Cheap</v>
      </c>
      <c r="O203" s="7">
        <v>447</v>
      </c>
      <c r="P203" s="7">
        <v>923</v>
      </c>
      <c r="Q203" s="7">
        <v>1357</v>
      </c>
    </row>
    <row r="204" spans="1:17" x14ac:dyDescent="0.25">
      <c r="A204" s="5" t="s">
        <v>11</v>
      </c>
      <c r="B204" s="6">
        <v>471</v>
      </c>
      <c r="C204" s="7" t="str" cm="1">
        <f t="array" ref="C204">_xlfn.IFS(B204 &lt;= 567, "Cheap", B204 &lt;= 1033, "Medium", TRUE, "Higher")</f>
        <v>Cheap</v>
      </c>
      <c r="O204" s="7">
        <v>450</v>
      </c>
      <c r="P204" s="7">
        <v>926</v>
      </c>
      <c r="Q204" s="7">
        <v>1360</v>
      </c>
    </row>
    <row r="205" spans="1:17" x14ac:dyDescent="0.25">
      <c r="A205" s="5" t="s">
        <v>11</v>
      </c>
      <c r="B205" s="6">
        <v>486</v>
      </c>
      <c r="C205" s="7" t="str" cm="1">
        <f t="array" ref="C205">_xlfn.IFS(B205 &lt;= 567, "Cheap", B205 &lt;= 1033, "Medium", TRUE, "Higher")</f>
        <v>Cheap</v>
      </c>
      <c r="O205" s="7">
        <v>458</v>
      </c>
      <c r="P205" s="7">
        <v>927</v>
      </c>
      <c r="Q205" s="7">
        <v>1363</v>
      </c>
    </row>
    <row r="206" spans="1:17" x14ac:dyDescent="0.25">
      <c r="A206" s="5" t="s">
        <v>11</v>
      </c>
      <c r="B206" s="6">
        <v>502</v>
      </c>
      <c r="C206" s="7" t="str" cm="1">
        <f t="array" ref="C206">_xlfn.IFS(B206 &lt;= 567, "Cheap", B206 &lt;= 1033, "Medium", TRUE, "Higher")</f>
        <v>Cheap</v>
      </c>
      <c r="O206" s="7">
        <v>460</v>
      </c>
      <c r="P206" s="7">
        <v>928</v>
      </c>
      <c r="Q206" s="7">
        <v>1365</v>
      </c>
    </row>
    <row r="207" spans="1:17" x14ac:dyDescent="0.25">
      <c r="A207" s="5" t="s">
        <v>11</v>
      </c>
      <c r="B207" s="6">
        <v>502</v>
      </c>
      <c r="C207" s="7" t="str" cm="1">
        <f t="array" ref="C207">_xlfn.IFS(B207 &lt;= 567, "Cheap", B207 &lt;= 1033, "Medium", TRUE, "Higher")</f>
        <v>Cheap</v>
      </c>
      <c r="O207" s="7">
        <v>462</v>
      </c>
      <c r="P207" s="7">
        <v>930</v>
      </c>
      <c r="Q207" s="7">
        <v>1367</v>
      </c>
    </row>
    <row r="208" spans="1:17" x14ac:dyDescent="0.25">
      <c r="A208" s="5" t="s">
        <v>11</v>
      </c>
      <c r="B208" s="6">
        <v>532</v>
      </c>
      <c r="C208" s="7" t="str" cm="1">
        <f t="array" ref="C208">_xlfn.IFS(B208 &lt;= 567, "Cheap", B208 &lt;= 1033, "Medium", TRUE, "Higher")</f>
        <v>Cheap</v>
      </c>
      <c r="O208" s="7">
        <v>463</v>
      </c>
      <c r="P208" s="7">
        <v>933</v>
      </c>
      <c r="Q208" s="7">
        <v>1368</v>
      </c>
    </row>
    <row r="209" spans="1:17" x14ac:dyDescent="0.25">
      <c r="A209" s="5" t="s">
        <v>11</v>
      </c>
      <c r="B209" s="6">
        <v>538</v>
      </c>
      <c r="C209" s="7" t="str" cm="1">
        <f t="array" ref="C209">_xlfn.IFS(B209 &lt;= 567, "Cheap", B209 &lt;= 1033, "Medium", TRUE, "Higher")</f>
        <v>Cheap</v>
      </c>
      <c r="O209" s="7">
        <v>464</v>
      </c>
      <c r="P209" s="7">
        <v>937</v>
      </c>
      <c r="Q209" s="7">
        <v>1369</v>
      </c>
    </row>
    <row r="210" spans="1:17" x14ac:dyDescent="0.25">
      <c r="A210" s="5" t="s">
        <v>11</v>
      </c>
      <c r="B210" s="6">
        <v>543</v>
      </c>
      <c r="C210" s="7" t="str" cm="1">
        <f t="array" ref="C210">_xlfn.IFS(B210 &lt;= 567, "Cheap", B210 &lt;= 1033, "Medium", TRUE, "Higher")</f>
        <v>Cheap</v>
      </c>
      <c r="O210" s="7">
        <v>465</v>
      </c>
      <c r="P210" s="7">
        <v>938</v>
      </c>
      <c r="Q210" s="7">
        <v>1371</v>
      </c>
    </row>
    <row r="211" spans="1:17" x14ac:dyDescent="0.25">
      <c r="A211" s="5" t="s">
        <v>91</v>
      </c>
      <c r="B211" s="6">
        <v>142</v>
      </c>
      <c r="C211" s="7" t="str" cm="1">
        <f t="array" ref="C211">_xlfn.IFS(B211 &lt;= 567, "Cheap", B211 &lt;= 1033, "Medium", TRUE, "Higher")</f>
        <v>Cheap</v>
      </c>
      <c r="O211" s="7">
        <v>467</v>
      </c>
      <c r="P211" s="7">
        <v>939</v>
      </c>
      <c r="Q211" s="7">
        <v>1373</v>
      </c>
    </row>
    <row r="212" spans="1:17" x14ac:dyDescent="0.25">
      <c r="A212" s="5" t="s">
        <v>91</v>
      </c>
      <c r="B212" s="6">
        <v>165</v>
      </c>
      <c r="C212" s="7" t="str" cm="1">
        <f t="array" ref="C212">_xlfn.IFS(B212 &lt;= 567, "Cheap", B212 &lt;= 1033, "Medium", TRUE, "Higher")</f>
        <v>Cheap</v>
      </c>
      <c r="O212" s="7">
        <v>469</v>
      </c>
      <c r="P212" s="7">
        <v>941</v>
      </c>
      <c r="Q212" s="7">
        <v>1374</v>
      </c>
    </row>
    <row r="213" spans="1:17" x14ac:dyDescent="0.25">
      <c r="A213" s="5" t="s">
        <v>91</v>
      </c>
      <c r="B213" s="6">
        <v>167</v>
      </c>
      <c r="C213" s="7" t="str" cm="1">
        <f t="array" ref="C213">_xlfn.IFS(B213 &lt;= 567, "Cheap", B213 &lt;= 1033, "Medium", TRUE, "Higher")</f>
        <v>Cheap</v>
      </c>
      <c r="O213" s="7">
        <v>471</v>
      </c>
      <c r="P213" s="7">
        <v>947</v>
      </c>
      <c r="Q213" s="7">
        <v>1375</v>
      </c>
    </row>
    <row r="214" spans="1:17" x14ac:dyDescent="0.25">
      <c r="A214" s="5" t="s">
        <v>91</v>
      </c>
      <c r="B214" s="6">
        <v>176</v>
      </c>
      <c r="C214" s="7" t="str" cm="1">
        <f t="array" ref="C214">_xlfn.IFS(B214 &lt;= 567, "Cheap", B214 &lt;= 1033, "Medium", TRUE, "Higher")</f>
        <v>Cheap</v>
      </c>
      <c r="O214" s="7">
        <v>473</v>
      </c>
      <c r="P214" s="7">
        <v>948</v>
      </c>
      <c r="Q214" s="7">
        <v>1379</v>
      </c>
    </row>
    <row r="215" spans="1:17" x14ac:dyDescent="0.25">
      <c r="A215" s="5" t="s">
        <v>91</v>
      </c>
      <c r="B215" s="6">
        <v>179</v>
      </c>
      <c r="C215" s="7" t="str" cm="1">
        <f t="array" ref="C215">_xlfn.IFS(B215 &lt;= 567, "Cheap", B215 &lt;= 1033, "Medium", TRUE, "Higher")</f>
        <v>Cheap</v>
      </c>
      <c r="O215" s="7">
        <v>474</v>
      </c>
      <c r="P215" s="7">
        <v>951</v>
      </c>
      <c r="Q215" s="7">
        <v>1381</v>
      </c>
    </row>
    <row r="216" spans="1:17" x14ac:dyDescent="0.25">
      <c r="A216" s="5" t="s">
        <v>91</v>
      </c>
      <c r="B216" s="6">
        <v>218</v>
      </c>
      <c r="C216" s="7" t="str" cm="1">
        <f t="array" ref="C216">_xlfn.IFS(B216 &lt;= 567, "Cheap", B216 &lt;= 1033, "Medium", TRUE, "Higher")</f>
        <v>Cheap</v>
      </c>
      <c r="O216" s="7">
        <v>475</v>
      </c>
      <c r="P216" s="7">
        <v>952</v>
      </c>
      <c r="Q216" s="7">
        <v>1384</v>
      </c>
    </row>
    <row r="217" spans="1:17" x14ac:dyDescent="0.25">
      <c r="A217" s="5" t="s">
        <v>91</v>
      </c>
      <c r="B217" s="6">
        <v>230</v>
      </c>
      <c r="C217" s="7" t="str" cm="1">
        <f t="array" ref="C217">_xlfn.IFS(B217 &lt;= 567, "Cheap", B217 &lt;= 1033, "Medium", TRUE, "Higher")</f>
        <v>Cheap</v>
      </c>
      <c r="O217" s="7">
        <v>476</v>
      </c>
      <c r="P217" s="7">
        <v>953</v>
      </c>
      <c r="Q217" s="7">
        <v>1385</v>
      </c>
    </row>
    <row r="218" spans="1:17" x14ac:dyDescent="0.25">
      <c r="A218" s="5" t="s">
        <v>91</v>
      </c>
      <c r="B218" s="6">
        <v>230</v>
      </c>
      <c r="C218" s="7" t="str" cm="1">
        <f t="array" ref="C218">_xlfn.IFS(B218 &lt;= 567, "Cheap", B218 &lt;= 1033, "Medium", TRUE, "Higher")</f>
        <v>Cheap</v>
      </c>
      <c r="O218" s="7">
        <v>479</v>
      </c>
      <c r="P218" s="7">
        <v>957</v>
      </c>
      <c r="Q218" s="7">
        <v>1386</v>
      </c>
    </row>
    <row r="219" spans="1:17" x14ac:dyDescent="0.25">
      <c r="A219" s="5" t="s">
        <v>91</v>
      </c>
      <c r="B219" s="6">
        <v>238</v>
      </c>
      <c r="C219" s="7" t="str" cm="1">
        <f t="array" ref="C219">_xlfn.IFS(B219 &lt;= 567, "Cheap", B219 &lt;= 1033, "Medium", TRUE, "Higher")</f>
        <v>Cheap</v>
      </c>
      <c r="O219" s="7">
        <v>482</v>
      </c>
      <c r="P219" s="7">
        <v>961</v>
      </c>
      <c r="Q219" s="7">
        <v>1387</v>
      </c>
    </row>
    <row r="220" spans="1:17" x14ac:dyDescent="0.25">
      <c r="A220" s="5" t="s">
        <v>91</v>
      </c>
      <c r="B220" s="6">
        <v>247</v>
      </c>
      <c r="C220" s="7" t="str" cm="1">
        <f t="array" ref="C220">_xlfn.IFS(B220 &lt;= 567, "Cheap", B220 &lt;= 1033, "Medium", TRUE, "Higher")</f>
        <v>Cheap</v>
      </c>
      <c r="O220" s="7">
        <v>486</v>
      </c>
      <c r="P220" s="7">
        <v>963</v>
      </c>
      <c r="Q220" s="7">
        <v>1391</v>
      </c>
    </row>
    <row r="221" spans="1:17" x14ac:dyDescent="0.25">
      <c r="A221" s="5" t="s">
        <v>91</v>
      </c>
      <c r="B221" s="6">
        <v>255</v>
      </c>
      <c r="C221" s="7" t="str" cm="1">
        <f t="array" ref="C221">_xlfn.IFS(B221 &lt;= 567, "Cheap", B221 &lt;= 1033, "Medium", TRUE, "Higher")</f>
        <v>Cheap</v>
      </c>
      <c r="O221" s="7">
        <v>488</v>
      </c>
      <c r="P221" s="7">
        <v>966</v>
      </c>
      <c r="Q221" s="7">
        <v>1392</v>
      </c>
    </row>
    <row r="222" spans="1:17" x14ac:dyDescent="0.25">
      <c r="A222" s="5" t="s">
        <v>91</v>
      </c>
      <c r="B222" s="6">
        <v>278</v>
      </c>
      <c r="C222" s="7" t="str" cm="1">
        <f t="array" ref="C222">_xlfn.IFS(B222 &lt;= 567, "Cheap", B222 &lt;= 1033, "Medium", TRUE, "Higher")</f>
        <v>Cheap</v>
      </c>
      <c r="O222" s="7">
        <v>491</v>
      </c>
      <c r="P222" s="7">
        <v>968</v>
      </c>
      <c r="Q222" s="7">
        <v>1394</v>
      </c>
    </row>
    <row r="223" spans="1:17" x14ac:dyDescent="0.25">
      <c r="A223" s="5" t="s">
        <v>91</v>
      </c>
      <c r="B223" s="6">
        <v>281</v>
      </c>
      <c r="C223" s="7" t="str" cm="1">
        <f t="array" ref="C223">_xlfn.IFS(B223 &lt;= 567, "Cheap", B223 &lt;= 1033, "Medium", TRUE, "Higher")</f>
        <v>Cheap</v>
      </c>
      <c r="O223" s="7">
        <v>492</v>
      </c>
      <c r="P223" s="7">
        <v>969</v>
      </c>
      <c r="Q223" s="7">
        <v>1397</v>
      </c>
    </row>
    <row r="224" spans="1:17" x14ac:dyDescent="0.25">
      <c r="A224" s="5" t="s">
        <v>91</v>
      </c>
      <c r="B224" s="6">
        <v>304</v>
      </c>
      <c r="C224" s="7" t="str" cm="1">
        <f t="array" ref="C224">_xlfn.IFS(B224 &lt;= 567, "Cheap", B224 &lt;= 1033, "Medium", TRUE, "Higher")</f>
        <v>Cheap</v>
      </c>
      <c r="O224" s="7">
        <v>497</v>
      </c>
      <c r="P224" s="7">
        <v>975</v>
      </c>
      <c r="Q224" s="7">
        <v>1398</v>
      </c>
    </row>
    <row r="225" spans="1:17" x14ac:dyDescent="0.25">
      <c r="A225" s="5" t="s">
        <v>91</v>
      </c>
      <c r="B225" s="6">
        <v>311</v>
      </c>
      <c r="C225" s="7" t="str" cm="1">
        <f t="array" ref="C225">_xlfn.IFS(B225 &lt;= 567, "Cheap", B225 &lt;= 1033, "Medium", TRUE, "Higher")</f>
        <v>Cheap</v>
      </c>
      <c r="O225" s="7">
        <v>498</v>
      </c>
      <c r="P225" s="7">
        <v>978</v>
      </c>
      <c r="Q225" s="7">
        <v>1399</v>
      </c>
    </row>
    <row r="226" spans="1:17" x14ac:dyDescent="0.25">
      <c r="A226" s="5" t="s">
        <v>91</v>
      </c>
      <c r="B226" s="6">
        <v>316</v>
      </c>
      <c r="C226" s="7" t="str" cm="1">
        <f t="array" ref="C226">_xlfn.IFS(B226 &lt;= 567, "Cheap", B226 &lt;= 1033, "Medium", TRUE, "Higher")</f>
        <v>Cheap</v>
      </c>
      <c r="O226" s="7">
        <v>501</v>
      </c>
      <c r="P226" s="7">
        <v>979</v>
      </c>
      <c r="Q226" s="7">
        <v>1400</v>
      </c>
    </row>
    <row r="227" spans="1:17" x14ac:dyDescent="0.25">
      <c r="A227" s="5" t="s">
        <v>91</v>
      </c>
      <c r="B227" s="6">
        <v>329</v>
      </c>
      <c r="C227" s="7" t="str" cm="1">
        <f t="array" ref="C227">_xlfn.IFS(B227 &lt;= 567, "Cheap", B227 &lt;= 1033, "Medium", TRUE, "Higher")</f>
        <v>Cheap</v>
      </c>
      <c r="O227" s="7">
        <v>502</v>
      </c>
      <c r="P227" s="7">
        <v>980</v>
      </c>
      <c r="Q227" s="7">
        <v>1403</v>
      </c>
    </row>
    <row r="228" spans="1:17" x14ac:dyDescent="0.25">
      <c r="A228" s="5" t="s">
        <v>91</v>
      </c>
      <c r="B228" s="6">
        <v>335</v>
      </c>
      <c r="C228" s="7" t="str" cm="1">
        <f t="array" ref="C228">_xlfn.IFS(B228 &lt;= 567, "Cheap", B228 &lt;= 1033, "Medium", TRUE, "Higher")</f>
        <v>Cheap</v>
      </c>
      <c r="O228" s="7">
        <v>503</v>
      </c>
      <c r="P228" s="7">
        <v>981</v>
      </c>
      <c r="Q228" s="7">
        <v>1404</v>
      </c>
    </row>
    <row r="229" spans="1:17" x14ac:dyDescent="0.25">
      <c r="A229" s="5" t="s">
        <v>91</v>
      </c>
      <c r="B229" s="6">
        <v>349</v>
      </c>
      <c r="C229" s="7" t="str" cm="1">
        <f t="array" ref="C229">_xlfn.IFS(B229 &lt;= 567, "Cheap", B229 &lt;= 1033, "Medium", TRUE, "Higher")</f>
        <v>Cheap</v>
      </c>
      <c r="O229" s="7">
        <v>506</v>
      </c>
      <c r="P229" s="7">
        <v>983</v>
      </c>
      <c r="Q229" s="7">
        <v>1405</v>
      </c>
    </row>
    <row r="230" spans="1:17" x14ac:dyDescent="0.25">
      <c r="A230" s="5" t="s">
        <v>91</v>
      </c>
      <c r="B230" s="6">
        <v>355</v>
      </c>
      <c r="C230" s="7" t="str" cm="1">
        <f t="array" ref="C230">_xlfn.IFS(B230 &lt;= 567, "Cheap", B230 &lt;= 1033, "Medium", TRUE, "Higher")</f>
        <v>Cheap</v>
      </c>
      <c r="O230" s="7">
        <v>508</v>
      </c>
      <c r="P230" s="7">
        <v>984</v>
      </c>
      <c r="Q230" s="7">
        <v>1406</v>
      </c>
    </row>
    <row r="231" spans="1:17" x14ac:dyDescent="0.25">
      <c r="A231" s="5" t="s">
        <v>91</v>
      </c>
      <c r="B231" s="6">
        <v>356</v>
      </c>
      <c r="C231" s="7" t="str" cm="1">
        <f t="array" ref="C231">_xlfn.IFS(B231 &lt;= 567, "Cheap", B231 &lt;= 1033, "Medium", TRUE, "Higher")</f>
        <v>Cheap</v>
      </c>
      <c r="O231" s="7">
        <v>510</v>
      </c>
      <c r="P231" s="7">
        <v>986</v>
      </c>
      <c r="Q231" s="7">
        <v>1408</v>
      </c>
    </row>
    <row r="232" spans="1:17" x14ac:dyDescent="0.25">
      <c r="A232" s="5" t="s">
        <v>91</v>
      </c>
      <c r="B232" s="6">
        <v>375</v>
      </c>
      <c r="C232" s="7" t="str" cm="1">
        <f t="array" ref="C232">_xlfn.IFS(B232 &lt;= 567, "Cheap", B232 &lt;= 1033, "Medium", TRUE, "Higher")</f>
        <v>Cheap</v>
      </c>
      <c r="O232" s="7">
        <v>513</v>
      </c>
      <c r="P232" s="7">
        <v>987</v>
      </c>
      <c r="Q232" s="7">
        <v>1409</v>
      </c>
    </row>
    <row r="233" spans="1:17" x14ac:dyDescent="0.25">
      <c r="A233" s="5" t="s">
        <v>91</v>
      </c>
      <c r="B233" s="6">
        <v>385</v>
      </c>
      <c r="C233" s="7" t="str" cm="1">
        <f t="array" ref="C233">_xlfn.IFS(B233 &lt;= 567, "Cheap", B233 &lt;= 1033, "Medium", TRUE, "Higher")</f>
        <v>Cheap</v>
      </c>
      <c r="O233" s="7">
        <v>514</v>
      </c>
      <c r="P233" s="7">
        <v>991</v>
      </c>
      <c r="Q233" s="7">
        <v>1410</v>
      </c>
    </row>
    <row r="234" spans="1:17" x14ac:dyDescent="0.25">
      <c r="A234" s="5" t="s">
        <v>91</v>
      </c>
      <c r="B234" s="6">
        <v>391</v>
      </c>
      <c r="C234" s="7" t="str" cm="1">
        <f t="array" ref="C234">_xlfn.IFS(B234 &lt;= 567, "Cheap", B234 &lt;= 1033, "Medium", TRUE, "Higher")</f>
        <v>Cheap</v>
      </c>
      <c r="O234" s="7">
        <v>515</v>
      </c>
      <c r="P234" s="7">
        <v>992</v>
      </c>
      <c r="Q234" s="7">
        <v>1413</v>
      </c>
    </row>
    <row r="235" spans="1:17" x14ac:dyDescent="0.25">
      <c r="A235" s="5" t="s">
        <v>91</v>
      </c>
      <c r="B235" s="6">
        <v>400</v>
      </c>
      <c r="C235" s="7" t="str" cm="1">
        <f t="array" ref="C235">_xlfn.IFS(B235 &lt;= 567, "Cheap", B235 &lt;= 1033, "Medium", TRUE, "Higher")</f>
        <v>Cheap</v>
      </c>
      <c r="O235" s="7">
        <v>520</v>
      </c>
      <c r="P235" s="7">
        <v>993</v>
      </c>
      <c r="Q235" s="7">
        <v>1414</v>
      </c>
    </row>
    <row r="236" spans="1:17" x14ac:dyDescent="0.25">
      <c r="A236" s="5" t="s">
        <v>91</v>
      </c>
      <c r="B236" s="6">
        <v>419</v>
      </c>
      <c r="C236" s="7" t="str" cm="1">
        <f t="array" ref="C236">_xlfn.IFS(B236 &lt;= 567, "Cheap", B236 &lt;= 1033, "Medium", TRUE, "Higher")</f>
        <v>Cheap</v>
      </c>
      <c r="O236" s="7">
        <v>521</v>
      </c>
      <c r="P236" s="7">
        <v>994</v>
      </c>
      <c r="Q236" s="7">
        <v>1417</v>
      </c>
    </row>
    <row r="237" spans="1:17" x14ac:dyDescent="0.25">
      <c r="A237" s="5" t="s">
        <v>91</v>
      </c>
      <c r="B237" s="6">
        <v>439</v>
      </c>
      <c r="C237" s="7" t="str" cm="1">
        <f t="array" ref="C237">_xlfn.IFS(B237 &lt;= 567, "Cheap", B237 &lt;= 1033, "Medium", TRUE, "Higher")</f>
        <v>Cheap</v>
      </c>
      <c r="O237" s="7">
        <v>523</v>
      </c>
      <c r="P237" s="7">
        <v>997</v>
      </c>
      <c r="Q237" s="7">
        <v>1420</v>
      </c>
    </row>
    <row r="238" spans="1:17" x14ac:dyDescent="0.25">
      <c r="A238" s="5" t="s">
        <v>91</v>
      </c>
      <c r="B238" s="6">
        <v>443</v>
      </c>
      <c r="C238" s="7" t="str" cm="1">
        <f t="array" ref="C238">_xlfn.IFS(B238 &lt;= 567, "Cheap", B238 &lt;= 1033, "Medium", TRUE, "Higher")</f>
        <v>Cheap</v>
      </c>
      <c r="O238" s="7">
        <v>525</v>
      </c>
      <c r="P238" s="7">
        <v>1003</v>
      </c>
      <c r="Q238" s="7">
        <v>1425</v>
      </c>
    </row>
    <row r="239" spans="1:17" x14ac:dyDescent="0.25">
      <c r="A239" s="5" t="s">
        <v>91</v>
      </c>
      <c r="B239" s="6">
        <v>447</v>
      </c>
      <c r="C239" s="7" t="str" cm="1">
        <f t="array" ref="C239">_xlfn.IFS(B239 &lt;= 567, "Cheap", B239 &lt;= 1033, "Medium", TRUE, "Higher")</f>
        <v>Cheap</v>
      </c>
      <c r="O239" s="7">
        <v>528</v>
      </c>
      <c r="P239" s="7">
        <v>1004</v>
      </c>
      <c r="Q239" s="7">
        <v>1426</v>
      </c>
    </row>
    <row r="240" spans="1:17" x14ac:dyDescent="0.25">
      <c r="A240" s="5" t="s">
        <v>91</v>
      </c>
      <c r="B240" s="6">
        <v>462</v>
      </c>
      <c r="C240" s="7" t="str" cm="1">
        <f t="array" ref="C240">_xlfn.IFS(B240 &lt;= 567, "Cheap", B240 &lt;= 1033, "Medium", TRUE, "Higher")</f>
        <v>Cheap</v>
      </c>
      <c r="O240" s="7">
        <v>529</v>
      </c>
      <c r="P240" s="7">
        <v>1005</v>
      </c>
      <c r="Q240" s="7">
        <v>1427</v>
      </c>
    </row>
    <row r="241" spans="1:17" x14ac:dyDescent="0.25">
      <c r="A241" s="5" t="s">
        <v>91</v>
      </c>
      <c r="B241" s="6">
        <v>482</v>
      </c>
      <c r="C241" s="7" t="str" cm="1">
        <f t="array" ref="C241">_xlfn.IFS(B241 &lt;= 567, "Cheap", B241 &lt;= 1033, "Medium", TRUE, "Higher")</f>
        <v>Cheap</v>
      </c>
      <c r="O241" s="7">
        <v>531</v>
      </c>
      <c r="P241" s="7">
        <v>1007</v>
      </c>
      <c r="Q241" s="7">
        <v>1429</v>
      </c>
    </row>
    <row r="242" spans="1:17" x14ac:dyDescent="0.25">
      <c r="A242" s="5" t="s">
        <v>91</v>
      </c>
      <c r="B242" s="6">
        <v>514</v>
      </c>
      <c r="C242" s="7" t="str" cm="1">
        <f t="array" ref="C242">_xlfn.IFS(B242 &lt;= 567, "Cheap", B242 &lt;= 1033, "Medium", TRUE, "Higher")</f>
        <v>Cheap</v>
      </c>
      <c r="O242" s="7">
        <v>532</v>
      </c>
      <c r="P242" s="7">
        <v>1008</v>
      </c>
      <c r="Q242" s="7">
        <v>1430</v>
      </c>
    </row>
    <row r="243" spans="1:17" x14ac:dyDescent="0.25">
      <c r="A243" s="5" t="s">
        <v>91</v>
      </c>
      <c r="B243" s="6">
        <v>540</v>
      </c>
      <c r="C243" s="7" t="str" cm="1">
        <f t="array" ref="C243">_xlfn.IFS(B243 &lt;= 567, "Cheap", B243 &lt;= 1033, "Medium", TRUE, "Higher")</f>
        <v>Cheap</v>
      </c>
      <c r="O243" s="7">
        <v>533</v>
      </c>
      <c r="P243" s="7">
        <v>1009</v>
      </c>
      <c r="Q243" s="7">
        <v>1432</v>
      </c>
    </row>
    <row r="244" spans="1:17" x14ac:dyDescent="0.25">
      <c r="A244" s="5" t="s">
        <v>91</v>
      </c>
      <c r="B244" s="6">
        <v>540</v>
      </c>
      <c r="C244" s="7" t="str" cm="1">
        <f t="array" ref="C244">_xlfn.IFS(B244 &lt;= 567, "Cheap", B244 &lt;= 1033, "Medium", TRUE, "Higher")</f>
        <v>Cheap</v>
      </c>
      <c r="O244" s="7">
        <v>537</v>
      </c>
      <c r="P244" s="7">
        <v>1011</v>
      </c>
      <c r="Q244" s="7">
        <v>1433</v>
      </c>
    </row>
    <row r="245" spans="1:17" x14ac:dyDescent="0.25">
      <c r="A245" s="5" t="s">
        <v>33</v>
      </c>
      <c r="B245" s="6">
        <v>112</v>
      </c>
      <c r="C245" s="7" t="str" cm="1">
        <f t="array" ref="C245">_xlfn.IFS(B245 &lt;= 567, "Cheap", B245 &lt;= 1033, "Medium", TRUE, "Higher")</f>
        <v>Cheap</v>
      </c>
      <c r="O245" s="7">
        <v>538</v>
      </c>
      <c r="P245" s="7">
        <v>1012</v>
      </c>
      <c r="Q245" s="7">
        <v>1435</v>
      </c>
    </row>
    <row r="246" spans="1:17" x14ac:dyDescent="0.25">
      <c r="A246" s="5" t="s">
        <v>33</v>
      </c>
      <c r="B246" s="6">
        <v>126</v>
      </c>
      <c r="C246" s="7" t="str" cm="1">
        <f t="array" ref="C246">_xlfn.IFS(B246 &lt;= 567, "Cheap", B246 &lt;= 1033, "Medium", TRUE, "Higher")</f>
        <v>Cheap</v>
      </c>
      <c r="O246" s="7">
        <v>540</v>
      </c>
      <c r="P246" s="7">
        <v>1014</v>
      </c>
      <c r="Q246" s="7">
        <v>1436</v>
      </c>
    </row>
    <row r="247" spans="1:17" x14ac:dyDescent="0.25">
      <c r="A247" s="5" t="s">
        <v>33</v>
      </c>
      <c r="B247" s="6">
        <v>126</v>
      </c>
      <c r="C247" s="7" t="str" cm="1">
        <f t="array" ref="C247">_xlfn.IFS(B247 &lt;= 567, "Cheap", B247 &lt;= 1033, "Medium", TRUE, "Higher")</f>
        <v>Cheap</v>
      </c>
      <c r="O247" s="7">
        <v>543</v>
      </c>
      <c r="P247" s="7">
        <v>1019</v>
      </c>
      <c r="Q247" s="7">
        <v>1437</v>
      </c>
    </row>
    <row r="248" spans="1:17" x14ac:dyDescent="0.25">
      <c r="A248" s="5" t="s">
        <v>33</v>
      </c>
      <c r="B248" s="6">
        <v>128</v>
      </c>
      <c r="C248" s="7" t="str" cm="1">
        <f t="array" ref="C248">_xlfn.IFS(B248 &lt;= 567, "Cheap", B248 &lt;= 1033, "Medium", TRUE, "Higher")</f>
        <v>Cheap</v>
      </c>
      <c r="O248" s="7">
        <v>544</v>
      </c>
      <c r="P248" s="7">
        <v>1020</v>
      </c>
      <c r="Q248" s="7">
        <v>1441</v>
      </c>
    </row>
    <row r="249" spans="1:17" x14ac:dyDescent="0.25">
      <c r="A249" s="5" t="s">
        <v>33</v>
      </c>
      <c r="B249" s="6">
        <v>151</v>
      </c>
      <c r="C249" s="7" t="str" cm="1">
        <f t="array" ref="C249">_xlfn.IFS(B249 &lt;= 567, "Cheap", B249 &lt;= 1033, "Medium", TRUE, "Higher")</f>
        <v>Cheap</v>
      </c>
      <c r="O249" s="7">
        <v>545</v>
      </c>
      <c r="P249" s="7">
        <v>1021</v>
      </c>
      <c r="Q249" s="7">
        <v>1442</v>
      </c>
    </row>
    <row r="250" spans="1:17" x14ac:dyDescent="0.25">
      <c r="A250" s="5" t="s">
        <v>33</v>
      </c>
      <c r="B250" s="6">
        <v>161</v>
      </c>
      <c r="C250" s="7" t="str" cm="1">
        <f t="array" ref="C250">_xlfn.IFS(B250 &lt;= 567, "Cheap", B250 &lt;= 1033, "Medium", TRUE, "Higher")</f>
        <v>Cheap</v>
      </c>
      <c r="O250" s="7">
        <v>546</v>
      </c>
      <c r="P250" s="7">
        <v>1022</v>
      </c>
      <c r="Q250" s="7">
        <v>1444</v>
      </c>
    </row>
    <row r="251" spans="1:17" x14ac:dyDescent="0.25">
      <c r="A251" s="5" t="s">
        <v>33</v>
      </c>
      <c r="B251" s="6">
        <v>166</v>
      </c>
      <c r="C251" s="7" t="str" cm="1">
        <f t="array" ref="C251">_xlfn.IFS(B251 &lt;= 567, "Cheap", B251 &lt;= 1033, "Medium", TRUE, "Higher")</f>
        <v>Cheap</v>
      </c>
      <c r="O251" s="7">
        <v>547</v>
      </c>
      <c r="P251" s="7">
        <v>1025</v>
      </c>
      <c r="Q251" s="7">
        <v>1446</v>
      </c>
    </row>
    <row r="252" spans="1:17" x14ac:dyDescent="0.25">
      <c r="A252" s="5" t="s">
        <v>33</v>
      </c>
      <c r="B252" s="6">
        <v>181</v>
      </c>
      <c r="C252" s="7" t="str" cm="1">
        <f t="array" ref="C252">_xlfn.IFS(B252 &lt;= 567, "Cheap", B252 &lt;= 1033, "Medium", TRUE, "Higher")</f>
        <v>Cheap</v>
      </c>
      <c r="O252" s="7">
        <v>548</v>
      </c>
      <c r="P252" s="7">
        <v>1032</v>
      </c>
      <c r="Q252" s="7">
        <v>1447</v>
      </c>
    </row>
    <row r="253" spans="1:17" x14ac:dyDescent="0.25">
      <c r="A253" s="5" t="s">
        <v>33</v>
      </c>
      <c r="B253" s="6">
        <v>189</v>
      </c>
      <c r="C253" s="7" t="str" cm="1">
        <f t="array" ref="C253">_xlfn.IFS(B253 &lt;= 567, "Cheap", B253 &lt;= 1033, "Medium", TRUE, "Higher")</f>
        <v>Cheap</v>
      </c>
      <c r="O253" s="7">
        <v>551</v>
      </c>
      <c r="P253" s="7">
        <v>1033</v>
      </c>
      <c r="Q253" s="7">
        <v>1449</v>
      </c>
    </row>
    <row r="254" spans="1:17" x14ac:dyDescent="0.25">
      <c r="A254" s="5" t="s">
        <v>33</v>
      </c>
      <c r="B254" s="6">
        <v>205</v>
      </c>
      <c r="C254" s="7" t="str" cm="1">
        <f t="array" ref="C254">_xlfn.IFS(B254 &lt;= 567, "Cheap", B254 &lt;= 1033, "Medium", TRUE, "Higher")</f>
        <v>Cheap</v>
      </c>
      <c r="O254" s="7">
        <v>554</v>
      </c>
      <c r="P254" s="13">
        <f>SUM(P23:P253)</f>
        <v>184569</v>
      </c>
      <c r="Q254" s="7">
        <v>1450</v>
      </c>
    </row>
    <row r="255" spans="1:17" x14ac:dyDescent="0.25">
      <c r="A255" s="5" t="s">
        <v>33</v>
      </c>
      <c r="B255" s="6">
        <v>210</v>
      </c>
      <c r="C255" s="7" t="str" cm="1">
        <f t="array" ref="C255">_xlfn.IFS(B255 &lt;= 567, "Cheap", B255 &lt;= 1033, "Medium", TRUE, "Higher")</f>
        <v>Cheap</v>
      </c>
      <c r="O255" s="7">
        <v>560</v>
      </c>
      <c r="P255" s="7"/>
      <c r="Q255" s="7">
        <v>1451</v>
      </c>
    </row>
    <row r="256" spans="1:17" x14ac:dyDescent="0.25">
      <c r="A256" s="5" t="s">
        <v>33</v>
      </c>
      <c r="B256" s="6">
        <v>210</v>
      </c>
      <c r="C256" s="7" t="str" cm="1">
        <f t="array" ref="C256">_xlfn.IFS(B256 &lt;= 567, "Cheap", B256 &lt;= 1033, "Medium", TRUE, "Higher")</f>
        <v>Cheap</v>
      </c>
      <c r="O256" s="7">
        <v>567</v>
      </c>
      <c r="P256" s="7"/>
      <c r="Q256" s="7">
        <v>1455</v>
      </c>
    </row>
    <row r="257" spans="1:17" x14ac:dyDescent="0.25">
      <c r="A257" s="5" t="s">
        <v>33</v>
      </c>
      <c r="B257" s="6">
        <v>223</v>
      </c>
      <c r="C257" s="7" t="str" cm="1">
        <f t="array" ref="C257">_xlfn.IFS(B257 &lt;= 567, "Cheap", B257 &lt;= 1033, "Medium", TRUE, "Higher")</f>
        <v>Cheap</v>
      </c>
      <c r="O257" s="15">
        <f>SUM(O23:O256)</f>
        <v>75600</v>
      </c>
      <c r="P257" s="16"/>
      <c r="Q257" s="16">
        <v>1458</v>
      </c>
    </row>
    <row r="258" spans="1:17" x14ac:dyDescent="0.25">
      <c r="A258" s="5" t="s">
        <v>33</v>
      </c>
      <c r="B258" s="6">
        <v>231</v>
      </c>
      <c r="C258" s="7" t="str" cm="1">
        <f t="array" ref="C258">_xlfn.IFS(B258 &lt;= 567, "Cheap", B258 &lt;= 1033, "Medium", TRUE, "Higher")</f>
        <v>Cheap</v>
      </c>
      <c r="O258" s="7"/>
      <c r="P258" s="7"/>
      <c r="Q258" s="7">
        <v>1460</v>
      </c>
    </row>
    <row r="259" spans="1:17" x14ac:dyDescent="0.25">
      <c r="A259" s="5" t="s">
        <v>33</v>
      </c>
      <c r="B259" s="6">
        <v>246</v>
      </c>
      <c r="C259" s="7" t="str" cm="1">
        <f t="array" ref="C259">_xlfn.IFS(B259 &lt;= 567, "Cheap", B259 &lt;= 1033, "Medium", TRUE, "Higher")</f>
        <v>Cheap</v>
      </c>
      <c r="O259" s="7"/>
      <c r="P259" s="7"/>
      <c r="Q259" s="7">
        <v>1461</v>
      </c>
    </row>
    <row r="260" spans="1:17" x14ac:dyDescent="0.25">
      <c r="A260" s="5" t="s">
        <v>33</v>
      </c>
      <c r="B260" s="6">
        <v>271</v>
      </c>
      <c r="C260" s="7" t="str" cm="1">
        <f t="array" ref="C260">_xlfn.IFS(B260 &lt;= 567, "Cheap", B260 &lt;= 1033, "Medium", TRUE, "Higher")</f>
        <v>Cheap</v>
      </c>
      <c r="O260" s="7"/>
      <c r="P260" s="7"/>
      <c r="Q260" s="7">
        <v>1462</v>
      </c>
    </row>
    <row r="261" spans="1:17" x14ac:dyDescent="0.25">
      <c r="A261" s="5" t="s">
        <v>33</v>
      </c>
      <c r="B261" s="6">
        <v>288</v>
      </c>
      <c r="C261" s="7" t="str" cm="1">
        <f t="array" ref="C261">_xlfn.IFS(B261 &lt;= 567, "Cheap", B261 &lt;= 1033, "Medium", TRUE, "Higher")</f>
        <v>Cheap</v>
      </c>
      <c r="O261" s="7"/>
      <c r="P261" s="7"/>
      <c r="Q261" s="7">
        <v>1464</v>
      </c>
    </row>
    <row r="262" spans="1:17" x14ac:dyDescent="0.25">
      <c r="A262" s="5" t="s">
        <v>33</v>
      </c>
      <c r="B262" s="6">
        <v>300</v>
      </c>
      <c r="C262" s="7" t="str" cm="1">
        <f t="array" ref="C262">_xlfn.IFS(B262 &lt;= 567, "Cheap", B262 &lt;= 1033, "Medium", TRUE, "Higher")</f>
        <v>Cheap</v>
      </c>
      <c r="O262" s="7"/>
      <c r="P262" s="7"/>
      <c r="Q262" s="7">
        <v>1465</v>
      </c>
    </row>
    <row r="263" spans="1:17" x14ac:dyDescent="0.25">
      <c r="A263" s="5" t="s">
        <v>33</v>
      </c>
      <c r="B263" s="6">
        <v>307</v>
      </c>
      <c r="C263" s="7" t="str" cm="1">
        <f t="array" ref="C263">_xlfn.IFS(B263 &lt;= 567, "Cheap", B263 &lt;= 1033, "Medium", TRUE, "Higher")</f>
        <v>Cheap</v>
      </c>
      <c r="O263" s="7"/>
      <c r="P263" s="7"/>
      <c r="Q263" s="7">
        <v>1466</v>
      </c>
    </row>
    <row r="264" spans="1:17" x14ac:dyDescent="0.25">
      <c r="A264" s="5" t="s">
        <v>33</v>
      </c>
      <c r="B264" s="6">
        <v>312</v>
      </c>
      <c r="C264" s="7" t="str" cm="1">
        <f t="array" ref="C264">_xlfn.IFS(B264 &lt;= 567, "Cheap", B264 &lt;= 1033, "Medium", TRUE, "Higher")</f>
        <v>Cheap</v>
      </c>
      <c r="O264" s="7"/>
      <c r="P264" s="7"/>
      <c r="Q264" s="7">
        <v>1467</v>
      </c>
    </row>
    <row r="265" spans="1:17" x14ac:dyDescent="0.25">
      <c r="A265" s="5" t="s">
        <v>33</v>
      </c>
      <c r="B265" s="6">
        <v>313</v>
      </c>
      <c r="C265" s="7" t="str" cm="1">
        <f t="array" ref="C265">_xlfn.IFS(B265 &lt;= 567, "Cheap", B265 &lt;= 1033, "Medium", TRUE, "Higher")</f>
        <v>Cheap</v>
      </c>
      <c r="O265" s="7"/>
      <c r="P265" s="7"/>
      <c r="Q265" s="7">
        <v>1470</v>
      </c>
    </row>
    <row r="266" spans="1:17" x14ac:dyDescent="0.25">
      <c r="A266" s="5" t="s">
        <v>33</v>
      </c>
      <c r="B266" s="6">
        <v>314</v>
      </c>
      <c r="C266" s="7" t="str" cm="1">
        <f t="array" ref="C266">_xlfn.IFS(B266 &lt;= 567, "Cheap", B266 &lt;= 1033, "Medium", TRUE, "Higher")</f>
        <v>Cheap</v>
      </c>
      <c r="O266" s="7"/>
      <c r="P266" s="7"/>
      <c r="Q266" s="7">
        <v>1471</v>
      </c>
    </row>
    <row r="267" spans="1:17" x14ac:dyDescent="0.25">
      <c r="A267" s="5" t="s">
        <v>33</v>
      </c>
      <c r="B267" s="6">
        <v>344</v>
      </c>
      <c r="C267" s="7" t="str" cm="1">
        <f t="array" ref="C267">_xlfn.IFS(B267 &lt;= 567, "Cheap", B267 &lt;= 1033, "Medium", TRUE, "Higher")</f>
        <v>Cheap</v>
      </c>
      <c r="O267" s="7"/>
      <c r="P267" s="7"/>
      <c r="Q267" s="7">
        <v>1475</v>
      </c>
    </row>
    <row r="268" spans="1:17" x14ac:dyDescent="0.25">
      <c r="A268" s="5" t="s">
        <v>33</v>
      </c>
      <c r="B268" s="6">
        <v>363</v>
      </c>
      <c r="C268" s="7" t="str" cm="1">
        <f t="array" ref="C268">_xlfn.IFS(B268 &lt;= 567, "Cheap", B268 &lt;= 1033, "Medium", TRUE, "Higher")</f>
        <v>Cheap</v>
      </c>
      <c r="O268" s="7"/>
      <c r="P268" s="7"/>
      <c r="Q268" s="7">
        <v>1477</v>
      </c>
    </row>
    <row r="269" spans="1:17" x14ac:dyDescent="0.25">
      <c r="A269" s="5" t="s">
        <v>33</v>
      </c>
      <c r="B269" s="6">
        <v>371</v>
      </c>
      <c r="C269" s="7" t="str" cm="1">
        <f t="array" ref="C269">_xlfn.IFS(B269 &lt;= 567, "Cheap", B269 &lt;= 1033, "Medium", TRUE, "Higher")</f>
        <v>Cheap</v>
      </c>
      <c r="O269" s="7"/>
      <c r="P269" s="7"/>
      <c r="Q269" s="7">
        <v>1478</v>
      </c>
    </row>
    <row r="270" spans="1:17" x14ac:dyDescent="0.25">
      <c r="A270" s="5" t="s">
        <v>33</v>
      </c>
      <c r="B270" s="6">
        <v>389</v>
      </c>
      <c r="C270" s="7" t="str" cm="1">
        <f t="array" ref="C270">_xlfn.IFS(B270 &lt;= 567, "Cheap", B270 &lt;= 1033, "Medium", TRUE, "Higher")</f>
        <v>Cheap</v>
      </c>
      <c r="O270" s="7"/>
      <c r="P270" s="7"/>
      <c r="Q270" s="7">
        <v>1479</v>
      </c>
    </row>
    <row r="271" spans="1:17" x14ac:dyDescent="0.25">
      <c r="A271" s="5" t="s">
        <v>33</v>
      </c>
      <c r="B271" s="6">
        <v>394</v>
      </c>
      <c r="C271" s="7" t="str" cm="1">
        <f t="array" ref="C271">_xlfn.IFS(B271 &lt;= 567, "Cheap", B271 &lt;= 1033, "Medium", TRUE, "Higher")</f>
        <v>Cheap</v>
      </c>
      <c r="O271" s="7"/>
      <c r="P271" s="7"/>
      <c r="Q271" s="7">
        <v>1480</v>
      </c>
    </row>
    <row r="272" spans="1:17" x14ac:dyDescent="0.25">
      <c r="A272" s="5" t="s">
        <v>33</v>
      </c>
      <c r="B272" s="6">
        <v>404</v>
      </c>
      <c r="C272" s="7" t="str" cm="1">
        <f t="array" ref="C272">_xlfn.IFS(B272 &lt;= 567, "Cheap", B272 &lt;= 1033, "Medium", TRUE, "Higher")</f>
        <v>Cheap</v>
      </c>
      <c r="O272" s="7"/>
      <c r="P272" s="7"/>
      <c r="Q272" s="7">
        <v>1483</v>
      </c>
    </row>
    <row r="273" spans="1:17" x14ac:dyDescent="0.25">
      <c r="A273" s="5" t="s">
        <v>33</v>
      </c>
      <c r="B273" s="6">
        <v>410</v>
      </c>
      <c r="C273" s="7" t="str" cm="1">
        <f t="array" ref="C273">_xlfn.IFS(B273 &lt;= 567, "Cheap", B273 &lt;= 1033, "Medium", TRUE, "Higher")</f>
        <v>Cheap</v>
      </c>
      <c r="O273" s="7"/>
      <c r="P273" s="7"/>
      <c r="Q273" s="7">
        <v>1485</v>
      </c>
    </row>
    <row r="274" spans="1:17" x14ac:dyDescent="0.25">
      <c r="A274" s="5" t="s">
        <v>33</v>
      </c>
      <c r="B274" s="6">
        <v>412</v>
      </c>
      <c r="C274" s="7" t="str" cm="1">
        <f t="array" ref="C274">_xlfn.IFS(B274 &lt;= 567, "Cheap", B274 &lt;= 1033, "Medium", TRUE, "Higher")</f>
        <v>Cheap</v>
      </c>
      <c r="O274" s="7"/>
      <c r="P274" s="7"/>
      <c r="Q274" s="7">
        <v>1486</v>
      </c>
    </row>
    <row r="275" spans="1:17" x14ac:dyDescent="0.25">
      <c r="A275" s="5" t="s">
        <v>33</v>
      </c>
      <c r="B275" s="6">
        <v>416</v>
      </c>
      <c r="C275" s="7" t="str" cm="1">
        <f t="array" ref="C275">_xlfn.IFS(B275 &lt;= 567, "Cheap", B275 &lt;= 1033, "Medium", TRUE, "Higher")</f>
        <v>Cheap</v>
      </c>
      <c r="O275" s="7"/>
      <c r="P275" s="7"/>
      <c r="Q275" s="7">
        <v>1492</v>
      </c>
    </row>
    <row r="276" spans="1:17" x14ac:dyDescent="0.25">
      <c r="A276" s="5" t="s">
        <v>33</v>
      </c>
      <c r="B276" s="6">
        <v>427</v>
      </c>
      <c r="C276" s="7" t="str" cm="1">
        <f t="array" ref="C276">_xlfn.IFS(B276 &lt;= 567, "Cheap", B276 &lt;= 1033, "Medium", TRUE, "Higher")</f>
        <v>Cheap</v>
      </c>
      <c r="O276" s="7"/>
      <c r="P276" s="7"/>
      <c r="Q276" s="7">
        <v>1495</v>
      </c>
    </row>
    <row r="277" spans="1:17" x14ac:dyDescent="0.25">
      <c r="A277" s="5" t="s">
        <v>33</v>
      </c>
      <c r="B277" s="6">
        <v>437</v>
      </c>
      <c r="C277" s="7" t="str" cm="1">
        <f t="array" ref="C277">_xlfn.IFS(B277 &lt;= 567, "Cheap", B277 &lt;= 1033, "Medium", TRUE, "Higher")</f>
        <v>Cheap</v>
      </c>
      <c r="O277" s="7"/>
      <c r="P277" s="7"/>
      <c r="Q277" s="7">
        <v>1496</v>
      </c>
    </row>
    <row r="278" spans="1:17" x14ac:dyDescent="0.25">
      <c r="A278" s="5" t="s">
        <v>33</v>
      </c>
      <c r="B278" s="6">
        <v>467</v>
      </c>
      <c r="C278" s="7" t="str" cm="1">
        <f t="array" ref="C278">_xlfn.IFS(B278 &lt;= 567, "Cheap", B278 &lt;= 1033, "Medium", TRUE, "Higher")</f>
        <v>Cheap</v>
      </c>
      <c r="O278" s="7"/>
      <c r="P278" s="7"/>
      <c r="Q278" s="7">
        <v>1497</v>
      </c>
    </row>
    <row r="279" spans="1:17" x14ac:dyDescent="0.25">
      <c r="A279" s="5" t="s">
        <v>33</v>
      </c>
      <c r="B279" s="6">
        <v>467</v>
      </c>
      <c r="C279" s="7" t="str" cm="1">
        <f t="array" ref="C279">_xlfn.IFS(B279 &lt;= 567, "Cheap", B279 &lt;= 1033, "Medium", TRUE, "Higher")</f>
        <v>Cheap</v>
      </c>
      <c r="O279" s="7"/>
      <c r="P279" s="7"/>
      <c r="Q279" s="7">
        <v>1498</v>
      </c>
    </row>
    <row r="280" spans="1:17" x14ac:dyDescent="0.25">
      <c r="A280" s="5" t="s">
        <v>33</v>
      </c>
      <c r="B280" s="6">
        <v>473</v>
      </c>
      <c r="C280" s="7" t="str" cm="1">
        <f t="array" ref="C280">_xlfn.IFS(B280 &lt;= 567, "Cheap", B280 &lt;= 1033, "Medium", TRUE, "Higher")</f>
        <v>Cheap</v>
      </c>
      <c r="O280" s="7"/>
      <c r="P280" s="7"/>
      <c r="Q280" s="7">
        <v>1499</v>
      </c>
    </row>
    <row r="281" spans="1:17" x14ac:dyDescent="0.25">
      <c r="A281" s="5" t="s">
        <v>33</v>
      </c>
      <c r="B281" s="6">
        <v>488</v>
      </c>
      <c r="C281" s="7" t="str" cm="1">
        <f t="array" ref="C281">_xlfn.IFS(B281 &lt;= 567, "Cheap", B281 &lt;= 1033, "Medium", TRUE, "Higher")</f>
        <v>Cheap</v>
      </c>
      <c r="O281" s="7"/>
      <c r="P281" s="7"/>
      <c r="Q281" s="13">
        <f>SUM(Q23:Q280)</f>
        <v>326288</v>
      </c>
    </row>
    <row r="282" spans="1:17" x14ac:dyDescent="0.25">
      <c r="A282" s="5" t="s">
        <v>33</v>
      </c>
      <c r="B282" s="6">
        <v>497</v>
      </c>
      <c r="C282" s="7" t="str" cm="1">
        <f t="array" ref="C282">_xlfn.IFS(B282 &lt;= 567, "Cheap", B282 &lt;= 1033, "Medium", TRUE, "Higher")</f>
        <v>Cheap</v>
      </c>
    </row>
    <row r="283" spans="1:17" x14ac:dyDescent="0.25">
      <c r="A283" s="5" t="s">
        <v>33</v>
      </c>
      <c r="B283" s="6">
        <v>498</v>
      </c>
      <c r="C283" s="7" t="str" cm="1">
        <f t="array" ref="C283">_xlfn.IFS(B283 &lt;= 567, "Cheap", B283 &lt;= 1033, "Medium", TRUE, "Higher")</f>
        <v>Cheap</v>
      </c>
    </row>
    <row r="284" spans="1:17" x14ac:dyDescent="0.25">
      <c r="A284" s="5" t="s">
        <v>33</v>
      </c>
      <c r="B284" s="6">
        <v>503</v>
      </c>
      <c r="C284" s="7" t="str" cm="1">
        <f t="array" ref="C284">_xlfn.IFS(B284 &lt;= 567, "Cheap", B284 &lt;= 1033, "Medium", TRUE, "Higher")</f>
        <v>Cheap</v>
      </c>
    </row>
    <row r="285" spans="1:17" x14ac:dyDescent="0.25">
      <c r="A285" s="5" t="s">
        <v>33</v>
      </c>
      <c r="B285" s="6">
        <v>510</v>
      </c>
      <c r="C285" s="7" t="str" cm="1">
        <f t="array" ref="C285">_xlfn.IFS(B285 &lt;= 567, "Cheap", B285 &lt;= 1033, "Medium", TRUE, "Higher")</f>
        <v>Cheap</v>
      </c>
    </row>
    <row r="286" spans="1:17" x14ac:dyDescent="0.25">
      <c r="A286" s="5" t="s">
        <v>33</v>
      </c>
      <c r="B286" s="6">
        <v>537</v>
      </c>
      <c r="C286" s="7" t="str" cm="1">
        <f t="array" ref="C286">_xlfn.IFS(B286 &lt;= 567, "Cheap", B286 &lt;= 1033, "Medium", TRUE, "Higher")</f>
        <v>Cheap</v>
      </c>
    </row>
    <row r="287" spans="1:17" x14ac:dyDescent="0.25">
      <c r="A287" s="5" t="s">
        <v>33</v>
      </c>
      <c r="B287" s="6">
        <v>544</v>
      </c>
      <c r="C287" s="7" t="str" cm="1">
        <f t="array" ref="C287">_xlfn.IFS(B287 &lt;= 567, "Cheap", B287 &lt;= 1033, "Medium", TRUE, "Higher")</f>
        <v>Cheap</v>
      </c>
    </row>
    <row r="288" spans="1:17" x14ac:dyDescent="0.25">
      <c r="A288" s="5" t="s">
        <v>33</v>
      </c>
      <c r="B288" s="6">
        <v>546</v>
      </c>
      <c r="C288" s="7" t="str" cm="1">
        <f t="array" ref="C288">_xlfn.IFS(B288 &lt;= 567, "Cheap", B288 &lt;= 1033, "Medium", TRUE, "Higher")</f>
        <v>Cheap</v>
      </c>
    </row>
    <row r="289" spans="1:3" x14ac:dyDescent="0.25">
      <c r="A289" s="5" t="s">
        <v>19</v>
      </c>
      <c r="B289" s="6">
        <v>105</v>
      </c>
      <c r="C289" s="7" t="str" cm="1">
        <f t="array" ref="C289">_xlfn.IFS(B289 &lt;= 567, "Cheap", B289 &lt;= 1033, "Medium", TRUE, "Higher")</f>
        <v>Cheap</v>
      </c>
    </row>
    <row r="290" spans="1:3" x14ac:dyDescent="0.25">
      <c r="A290" s="5" t="s">
        <v>19</v>
      </c>
      <c r="B290" s="6">
        <v>112</v>
      </c>
      <c r="C290" s="7" t="str" cm="1">
        <f t="array" ref="C290">_xlfn.IFS(B290 &lt;= 567, "Cheap", B290 &lt;= 1033, "Medium", TRUE, "Higher")</f>
        <v>Cheap</v>
      </c>
    </row>
    <row r="291" spans="1:3" x14ac:dyDescent="0.25">
      <c r="A291" s="5" t="s">
        <v>19</v>
      </c>
      <c r="B291" s="6">
        <v>130</v>
      </c>
      <c r="C291" s="7" t="str" cm="1">
        <f t="array" ref="C291">_xlfn.IFS(B291 &lt;= 567, "Cheap", B291 &lt;= 1033, "Medium", TRUE, "Higher")</f>
        <v>Cheap</v>
      </c>
    </row>
    <row r="292" spans="1:3" x14ac:dyDescent="0.25">
      <c r="A292" s="5" t="s">
        <v>19</v>
      </c>
      <c r="B292" s="6">
        <v>152</v>
      </c>
      <c r="C292" s="7" t="str" cm="1">
        <f t="array" ref="C292">_xlfn.IFS(B292 &lt;= 567, "Cheap", B292 &lt;= 1033, "Medium", TRUE, "Higher")</f>
        <v>Cheap</v>
      </c>
    </row>
    <row r="293" spans="1:3" x14ac:dyDescent="0.25">
      <c r="A293" s="5" t="s">
        <v>19</v>
      </c>
      <c r="B293" s="6">
        <v>154</v>
      </c>
      <c r="C293" s="7" t="str" cm="1">
        <f t="array" ref="C293">_xlfn.IFS(B293 &lt;= 567, "Cheap", B293 &lt;= 1033, "Medium", TRUE, "Higher")</f>
        <v>Cheap</v>
      </c>
    </row>
    <row r="294" spans="1:3" x14ac:dyDescent="0.25">
      <c r="A294" s="5" t="s">
        <v>19</v>
      </c>
      <c r="B294" s="6">
        <v>167</v>
      </c>
      <c r="C294" s="7" t="str" cm="1">
        <f t="array" ref="C294">_xlfn.IFS(B294 &lt;= 567, "Cheap", B294 &lt;= 1033, "Medium", TRUE, "Higher")</f>
        <v>Cheap</v>
      </c>
    </row>
    <row r="295" spans="1:3" x14ac:dyDescent="0.25">
      <c r="A295" s="5" t="s">
        <v>19</v>
      </c>
      <c r="B295" s="6">
        <v>171</v>
      </c>
      <c r="C295" s="7" t="str" cm="1">
        <f t="array" ref="C295">_xlfn.IFS(B295 &lt;= 567, "Cheap", B295 &lt;= 1033, "Medium", TRUE, "Higher")</f>
        <v>Cheap</v>
      </c>
    </row>
    <row r="296" spans="1:3" x14ac:dyDescent="0.25">
      <c r="A296" s="5" t="s">
        <v>19</v>
      </c>
      <c r="B296" s="6">
        <v>182</v>
      </c>
      <c r="C296" s="7" t="str" cm="1">
        <f t="array" ref="C296">_xlfn.IFS(B296 &lt;= 567, "Cheap", B296 &lt;= 1033, "Medium", TRUE, "Higher")</f>
        <v>Cheap</v>
      </c>
    </row>
    <row r="297" spans="1:3" x14ac:dyDescent="0.25">
      <c r="A297" s="5" t="s">
        <v>19</v>
      </c>
      <c r="B297" s="6">
        <v>193</v>
      </c>
      <c r="C297" s="7" t="str" cm="1">
        <f t="array" ref="C297">_xlfn.IFS(B297 &lt;= 567, "Cheap", B297 &lt;= 1033, "Medium", TRUE, "Higher")</f>
        <v>Cheap</v>
      </c>
    </row>
    <row r="298" spans="1:3" x14ac:dyDescent="0.25">
      <c r="A298" s="5" t="s">
        <v>19</v>
      </c>
      <c r="B298" s="6">
        <v>230</v>
      </c>
      <c r="C298" s="7" t="str" cm="1">
        <f t="array" ref="C298">_xlfn.IFS(B298 &lt;= 567, "Cheap", B298 &lt;= 1033, "Medium", TRUE, "Higher")</f>
        <v>Cheap</v>
      </c>
    </row>
    <row r="299" spans="1:3" x14ac:dyDescent="0.25">
      <c r="A299" s="5" t="s">
        <v>19</v>
      </c>
      <c r="B299" s="6">
        <v>235</v>
      </c>
      <c r="C299" s="7" t="str" cm="1">
        <f t="array" ref="C299">_xlfn.IFS(B299 &lt;= 567, "Cheap", B299 &lt;= 1033, "Medium", TRUE, "Higher")</f>
        <v>Cheap</v>
      </c>
    </row>
    <row r="300" spans="1:3" x14ac:dyDescent="0.25">
      <c r="A300" s="5" t="s">
        <v>19</v>
      </c>
      <c r="B300" s="6">
        <v>238</v>
      </c>
      <c r="C300" s="7" t="str" cm="1">
        <f t="array" ref="C300">_xlfn.IFS(B300 &lt;= 567, "Cheap", B300 &lt;= 1033, "Medium", TRUE, "Higher")</f>
        <v>Cheap</v>
      </c>
    </row>
    <row r="301" spans="1:3" x14ac:dyDescent="0.25">
      <c r="A301" s="5" t="s">
        <v>19</v>
      </c>
      <c r="B301" s="6">
        <v>239</v>
      </c>
      <c r="C301" s="7" t="str" cm="1">
        <f t="array" ref="C301">_xlfn.IFS(B301 &lt;= 567, "Cheap", B301 &lt;= 1033, "Medium", TRUE, "Higher")</f>
        <v>Cheap</v>
      </c>
    </row>
    <row r="302" spans="1:3" x14ac:dyDescent="0.25">
      <c r="A302" s="5" t="s">
        <v>19</v>
      </c>
      <c r="B302" s="6">
        <v>241</v>
      </c>
      <c r="C302" s="7" t="str" cm="1">
        <f t="array" ref="C302">_xlfn.IFS(B302 &lt;= 567, "Cheap", B302 &lt;= 1033, "Medium", TRUE, "Higher")</f>
        <v>Cheap</v>
      </c>
    </row>
    <row r="303" spans="1:3" x14ac:dyDescent="0.25">
      <c r="A303" s="5" t="s">
        <v>19</v>
      </c>
      <c r="B303" s="6">
        <v>247</v>
      </c>
      <c r="C303" s="7" t="str" cm="1">
        <f t="array" ref="C303">_xlfn.IFS(B303 &lt;= 567, "Cheap", B303 &lt;= 1033, "Medium", TRUE, "Higher")</f>
        <v>Cheap</v>
      </c>
    </row>
    <row r="304" spans="1:3" x14ac:dyDescent="0.25">
      <c r="A304" s="5" t="s">
        <v>19</v>
      </c>
      <c r="B304" s="6">
        <v>254</v>
      </c>
      <c r="C304" s="7" t="str" cm="1">
        <f t="array" ref="C304">_xlfn.IFS(B304 &lt;= 567, "Cheap", B304 &lt;= 1033, "Medium", TRUE, "Higher")</f>
        <v>Cheap</v>
      </c>
    </row>
    <row r="305" spans="1:3" x14ac:dyDescent="0.25">
      <c r="A305" s="5" t="s">
        <v>19</v>
      </c>
      <c r="B305" s="6">
        <v>256</v>
      </c>
      <c r="C305" s="7" t="str" cm="1">
        <f t="array" ref="C305">_xlfn.IFS(B305 &lt;= 567, "Cheap", B305 &lt;= 1033, "Medium", TRUE, "Higher")</f>
        <v>Cheap</v>
      </c>
    </row>
    <row r="306" spans="1:3" x14ac:dyDescent="0.25">
      <c r="A306" s="5" t="s">
        <v>19</v>
      </c>
      <c r="B306" s="6">
        <v>258</v>
      </c>
      <c r="C306" s="7" t="str" cm="1">
        <f t="array" ref="C306">_xlfn.IFS(B306 &lt;= 567, "Cheap", B306 &lt;= 1033, "Medium", TRUE, "Higher")</f>
        <v>Cheap</v>
      </c>
    </row>
    <row r="307" spans="1:3" x14ac:dyDescent="0.25">
      <c r="A307" s="5" t="s">
        <v>19</v>
      </c>
      <c r="B307" s="6">
        <v>277</v>
      </c>
      <c r="C307" s="7" t="str" cm="1">
        <f t="array" ref="C307">_xlfn.IFS(B307 &lt;= 567, "Cheap", B307 &lt;= 1033, "Medium", TRUE, "Higher")</f>
        <v>Cheap</v>
      </c>
    </row>
    <row r="308" spans="1:3" x14ac:dyDescent="0.25">
      <c r="A308" s="5" t="s">
        <v>19</v>
      </c>
      <c r="B308" s="6">
        <v>302</v>
      </c>
      <c r="C308" s="7" t="str" cm="1">
        <f t="array" ref="C308">_xlfn.IFS(B308 &lt;= 567, "Cheap", B308 &lt;= 1033, "Medium", TRUE, "Higher")</f>
        <v>Cheap</v>
      </c>
    </row>
    <row r="309" spans="1:3" x14ac:dyDescent="0.25">
      <c r="A309" s="5" t="s">
        <v>19</v>
      </c>
      <c r="B309" s="6">
        <v>313</v>
      </c>
      <c r="C309" s="7" t="str" cm="1">
        <f t="array" ref="C309">_xlfn.IFS(B309 &lt;= 567, "Cheap", B309 &lt;= 1033, "Medium", TRUE, "Higher")</f>
        <v>Cheap</v>
      </c>
    </row>
    <row r="310" spans="1:3" x14ac:dyDescent="0.25">
      <c r="A310" s="5" t="s">
        <v>19</v>
      </c>
      <c r="B310" s="6">
        <v>320</v>
      </c>
      <c r="C310" s="7" t="str" cm="1">
        <f t="array" ref="C310">_xlfn.IFS(B310 &lt;= 567, "Cheap", B310 &lt;= 1033, "Medium", TRUE, "Higher")</f>
        <v>Cheap</v>
      </c>
    </row>
    <row r="311" spans="1:3" x14ac:dyDescent="0.25">
      <c r="A311" s="5" t="s">
        <v>19</v>
      </c>
      <c r="B311" s="6">
        <v>328</v>
      </c>
      <c r="C311" s="7" t="str" cm="1">
        <f t="array" ref="C311">_xlfn.IFS(B311 &lt;= 567, "Cheap", B311 &lt;= 1033, "Medium", TRUE, "Higher")</f>
        <v>Cheap</v>
      </c>
    </row>
    <row r="312" spans="1:3" x14ac:dyDescent="0.25">
      <c r="A312" s="5" t="s">
        <v>19</v>
      </c>
      <c r="B312" s="6">
        <v>342</v>
      </c>
      <c r="C312" s="7" t="str" cm="1">
        <f t="array" ref="C312">_xlfn.IFS(B312 &lt;= 567, "Cheap", B312 &lt;= 1033, "Medium", TRUE, "Higher")</f>
        <v>Cheap</v>
      </c>
    </row>
    <row r="313" spans="1:3" x14ac:dyDescent="0.25">
      <c r="A313" s="5" t="s">
        <v>19</v>
      </c>
      <c r="B313" s="6">
        <v>350</v>
      </c>
      <c r="C313" s="7" t="str" cm="1">
        <f t="array" ref="C313">_xlfn.IFS(B313 &lt;= 567, "Cheap", B313 &lt;= 1033, "Medium", TRUE, "Higher")</f>
        <v>Cheap</v>
      </c>
    </row>
    <row r="314" spans="1:3" x14ac:dyDescent="0.25">
      <c r="A314" s="5" t="s">
        <v>19</v>
      </c>
      <c r="B314" s="6">
        <v>377</v>
      </c>
      <c r="C314" s="7" t="str" cm="1">
        <f t="array" ref="C314">_xlfn.IFS(B314 &lt;= 567, "Cheap", B314 &lt;= 1033, "Medium", TRUE, "Higher")</f>
        <v>Cheap</v>
      </c>
    </row>
    <row r="315" spans="1:3" x14ac:dyDescent="0.25">
      <c r="A315" s="5" t="s">
        <v>19</v>
      </c>
      <c r="B315" s="6">
        <v>380</v>
      </c>
      <c r="C315" s="7" t="str" cm="1">
        <f t="array" ref="C315">_xlfn.IFS(B315 &lt;= 567, "Cheap", B315 &lt;= 1033, "Medium", TRUE, "Higher")</f>
        <v>Cheap</v>
      </c>
    </row>
    <row r="316" spans="1:3" x14ac:dyDescent="0.25">
      <c r="A316" s="5" t="s">
        <v>19</v>
      </c>
      <c r="B316" s="6">
        <v>439</v>
      </c>
      <c r="C316" s="7" t="str" cm="1">
        <f t="array" ref="C316">_xlfn.IFS(B316 &lt;= 567, "Cheap", B316 &lt;= 1033, "Medium", TRUE, "Higher")</f>
        <v>Cheap</v>
      </c>
    </row>
    <row r="317" spans="1:3" x14ac:dyDescent="0.25">
      <c r="A317" s="5" t="s">
        <v>19</v>
      </c>
      <c r="B317" s="6">
        <v>450</v>
      </c>
      <c r="C317" s="7" t="str" cm="1">
        <f t="array" ref="C317">_xlfn.IFS(B317 &lt;= 567, "Cheap", B317 &lt;= 1033, "Medium", TRUE, "Higher")</f>
        <v>Cheap</v>
      </c>
    </row>
    <row r="318" spans="1:3" x14ac:dyDescent="0.25">
      <c r="A318" s="5" t="s">
        <v>19</v>
      </c>
      <c r="B318" s="6">
        <v>458</v>
      </c>
      <c r="C318" s="7" t="str" cm="1">
        <f t="array" ref="C318">_xlfn.IFS(B318 &lt;= 567, "Cheap", B318 &lt;= 1033, "Medium", TRUE, "Higher")</f>
        <v>Cheap</v>
      </c>
    </row>
    <row r="319" spans="1:3" x14ac:dyDescent="0.25">
      <c r="A319" s="5" t="s">
        <v>19</v>
      </c>
      <c r="B319" s="6">
        <v>460</v>
      </c>
      <c r="C319" s="7" t="str" cm="1">
        <f t="array" ref="C319">_xlfn.IFS(B319 &lt;= 567, "Cheap", B319 &lt;= 1033, "Medium", TRUE, "Higher")</f>
        <v>Cheap</v>
      </c>
    </row>
    <row r="320" spans="1:3" x14ac:dyDescent="0.25">
      <c r="A320" s="5" t="s">
        <v>19</v>
      </c>
      <c r="B320" s="6">
        <v>471</v>
      </c>
      <c r="C320" s="7" t="str" cm="1">
        <f t="array" ref="C320">_xlfn.IFS(B320 &lt;= 567, "Cheap", B320 &lt;= 1033, "Medium", TRUE, "Higher")</f>
        <v>Cheap</v>
      </c>
    </row>
    <row r="321" spans="1:3" x14ac:dyDescent="0.25">
      <c r="A321" s="5" t="s">
        <v>19</v>
      </c>
      <c r="B321" s="6">
        <v>476</v>
      </c>
      <c r="C321" s="7" t="str" cm="1">
        <f t="array" ref="C321">_xlfn.IFS(B321 &lt;= 567, "Cheap", B321 &lt;= 1033, "Medium", TRUE, "Higher")</f>
        <v>Cheap</v>
      </c>
    </row>
    <row r="322" spans="1:3" x14ac:dyDescent="0.25">
      <c r="A322" s="5" t="s">
        <v>19</v>
      </c>
      <c r="B322" s="6">
        <v>521</v>
      </c>
      <c r="C322" s="7" t="str" cm="1">
        <f t="array" ref="C322">_xlfn.IFS(B322 &lt;= 567, "Cheap", B322 &lt;= 1033, "Medium", TRUE, "Higher")</f>
        <v>Cheap</v>
      </c>
    </row>
    <row r="323" spans="1:3" x14ac:dyDescent="0.25">
      <c r="A323" s="5" t="s">
        <v>19</v>
      </c>
      <c r="B323" s="6">
        <v>525</v>
      </c>
      <c r="C323" s="7" t="str" cm="1">
        <f t="array" ref="C323">_xlfn.IFS(B323 &lt;= 567, "Cheap", B323 &lt;= 1033, "Medium", TRUE, "Higher")</f>
        <v>Cheap</v>
      </c>
    </row>
    <row r="324" spans="1:3" x14ac:dyDescent="0.25">
      <c r="A324" s="5" t="s">
        <v>19</v>
      </c>
      <c r="B324" s="6">
        <v>560</v>
      </c>
      <c r="C324" s="7" t="str" cm="1">
        <f t="array" ref="C324">_xlfn.IFS(B324 &lt;= 567, "Cheap", B324 &lt;= 1033, "Medium", TRUE, "Higher")</f>
        <v>Cheap</v>
      </c>
    </row>
    <row r="325" spans="1:3" x14ac:dyDescent="0.25">
      <c r="A325" s="5" t="s">
        <v>58</v>
      </c>
      <c r="B325" s="6">
        <v>1043</v>
      </c>
      <c r="C325" s="7" t="str" cm="1">
        <f t="array" ref="C325">_xlfn.IFS(B325 &lt;= 567, "Cheap", B325 &lt;= 1033, "Medium", TRUE, "Higher")</f>
        <v>Higher</v>
      </c>
    </row>
    <row r="326" spans="1:3" x14ac:dyDescent="0.25">
      <c r="A326" s="5" t="s">
        <v>58</v>
      </c>
      <c r="B326" s="6">
        <v>1058</v>
      </c>
      <c r="C326" s="7" t="str" cm="1">
        <f t="array" ref="C326">_xlfn.IFS(B326 &lt;= 567, "Cheap", B326 &lt;= 1033, "Medium", TRUE, "Higher")</f>
        <v>Higher</v>
      </c>
    </row>
    <row r="327" spans="1:3" x14ac:dyDescent="0.25">
      <c r="A327" s="5" t="s">
        <v>58</v>
      </c>
      <c r="B327" s="6">
        <v>1058</v>
      </c>
      <c r="C327" s="7" t="str" cm="1">
        <f t="array" ref="C327">_xlfn.IFS(B327 &lt;= 567, "Cheap", B327 &lt;= 1033, "Medium", TRUE, "Higher")</f>
        <v>Higher</v>
      </c>
    </row>
    <row r="328" spans="1:3" x14ac:dyDescent="0.25">
      <c r="A328" s="5" t="s">
        <v>58</v>
      </c>
      <c r="B328" s="6">
        <v>1058</v>
      </c>
      <c r="C328" s="7" t="str" cm="1">
        <f t="array" ref="C328">_xlfn.IFS(B328 &lt;= 567, "Cheap", B328 &lt;= 1033, "Medium", TRUE, "Higher")</f>
        <v>Higher</v>
      </c>
    </row>
    <row r="329" spans="1:3" x14ac:dyDescent="0.25">
      <c r="A329" s="5" t="s">
        <v>58</v>
      </c>
      <c r="B329" s="6">
        <v>1077</v>
      </c>
      <c r="C329" s="7" t="str" cm="1">
        <f t="array" ref="C329">_xlfn.IFS(B329 &lt;= 567, "Cheap", B329 &lt;= 1033, "Medium", TRUE, "Higher")</f>
        <v>Higher</v>
      </c>
    </row>
    <row r="330" spans="1:3" x14ac:dyDescent="0.25">
      <c r="A330" s="5" t="s">
        <v>58</v>
      </c>
      <c r="B330" s="6">
        <v>1083</v>
      </c>
      <c r="C330" s="7" t="str" cm="1">
        <f t="array" ref="C330">_xlfn.IFS(B330 &lt;= 567, "Cheap", B330 &lt;= 1033, "Medium", TRUE, "Higher")</f>
        <v>Higher</v>
      </c>
    </row>
    <row r="331" spans="1:3" x14ac:dyDescent="0.25">
      <c r="A331" s="5" t="s">
        <v>58</v>
      </c>
      <c r="B331" s="6">
        <v>1087</v>
      </c>
      <c r="C331" s="7" t="str" cm="1">
        <f t="array" ref="C331">_xlfn.IFS(B331 &lt;= 567, "Cheap", B331 &lt;= 1033, "Medium", TRUE, "Higher")</f>
        <v>Higher</v>
      </c>
    </row>
    <row r="332" spans="1:3" x14ac:dyDescent="0.25">
      <c r="A332" s="5" t="s">
        <v>58</v>
      </c>
      <c r="B332" s="6">
        <v>1100</v>
      </c>
      <c r="C332" s="7" t="str" cm="1">
        <f t="array" ref="C332">_xlfn.IFS(B332 &lt;= 567, "Cheap", B332 &lt;= 1033, "Medium", TRUE, "Higher")</f>
        <v>Higher</v>
      </c>
    </row>
    <row r="333" spans="1:3" x14ac:dyDescent="0.25">
      <c r="A333" s="5" t="s">
        <v>58</v>
      </c>
      <c r="B333" s="6">
        <v>1109</v>
      </c>
      <c r="C333" s="7" t="str" cm="1">
        <f t="array" ref="C333">_xlfn.IFS(B333 &lt;= 567, "Cheap", B333 &lt;= 1033, "Medium", TRUE, "Higher")</f>
        <v>Higher</v>
      </c>
    </row>
    <row r="334" spans="1:3" x14ac:dyDescent="0.25">
      <c r="A334" s="5" t="s">
        <v>58</v>
      </c>
      <c r="B334" s="6">
        <v>1127</v>
      </c>
      <c r="C334" s="7" t="str" cm="1">
        <f t="array" ref="C334">_xlfn.IFS(B334 &lt;= 567, "Cheap", B334 &lt;= 1033, "Medium", TRUE, "Higher")</f>
        <v>Higher</v>
      </c>
    </row>
    <row r="335" spans="1:3" x14ac:dyDescent="0.25">
      <c r="A335" s="5" t="s">
        <v>58</v>
      </c>
      <c r="B335" s="6">
        <v>1129</v>
      </c>
      <c r="C335" s="7" t="str" cm="1">
        <f t="array" ref="C335">_xlfn.IFS(B335 &lt;= 567, "Cheap", B335 &lt;= 1033, "Medium", TRUE, "Higher")</f>
        <v>Higher</v>
      </c>
    </row>
    <row r="336" spans="1:3" x14ac:dyDescent="0.25">
      <c r="A336" s="5" t="s">
        <v>58</v>
      </c>
      <c r="B336" s="6">
        <v>1138</v>
      </c>
      <c r="C336" s="7" t="str" cm="1">
        <f t="array" ref="C336">_xlfn.IFS(B336 &lt;= 567, "Cheap", B336 &lt;= 1033, "Medium", TRUE, "Higher")</f>
        <v>Higher</v>
      </c>
    </row>
    <row r="337" spans="1:3" x14ac:dyDescent="0.25">
      <c r="A337" s="5" t="s">
        <v>58</v>
      </c>
      <c r="B337" s="6">
        <v>1163</v>
      </c>
      <c r="C337" s="7" t="str" cm="1">
        <f t="array" ref="C337">_xlfn.IFS(B337 &lt;= 567, "Cheap", B337 &lt;= 1033, "Medium", TRUE, "Higher")</f>
        <v>Higher</v>
      </c>
    </row>
    <row r="338" spans="1:3" x14ac:dyDescent="0.25">
      <c r="A338" s="5" t="s">
        <v>58</v>
      </c>
      <c r="B338" s="6">
        <v>1163</v>
      </c>
      <c r="C338" s="7" t="str" cm="1">
        <f t="array" ref="C338">_xlfn.IFS(B338 &lt;= 567, "Cheap", B338 &lt;= 1033, "Medium", TRUE, "Higher")</f>
        <v>Higher</v>
      </c>
    </row>
    <row r="339" spans="1:3" x14ac:dyDescent="0.25">
      <c r="A339" s="5" t="s">
        <v>58</v>
      </c>
      <c r="B339" s="6">
        <v>1163</v>
      </c>
      <c r="C339" s="7" t="str" cm="1">
        <f t="array" ref="C339">_xlfn.IFS(B339 &lt;= 567, "Cheap", B339 &lt;= 1033, "Medium", TRUE, "Higher")</f>
        <v>Higher</v>
      </c>
    </row>
    <row r="340" spans="1:3" x14ac:dyDescent="0.25">
      <c r="A340" s="5" t="s">
        <v>58</v>
      </c>
      <c r="B340" s="6">
        <v>1182</v>
      </c>
      <c r="C340" s="7" t="str" cm="1">
        <f t="array" ref="C340">_xlfn.IFS(B340 &lt;= 567, "Cheap", B340 &lt;= 1033, "Medium", TRUE, "Higher")</f>
        <v>Higher</v>
      </c>
    </row>
    <row r="341" spans="1:3" x14ac:dyDescent="0.25">
      <c r="A341" s="5" t="s">
        <v>58</v>
      </c>
      <c r="B341" s="6">
        <v>1186</v>
      </c>
      <c r="C341" s="7" t="str" cm="1">
        <f t="array" ref="C341">_xlfn.IFS(B341 &lt;= 567, "Cheap", B341 &lt;= 1033, "Medium", TRUE, "Higher")</f>
        <v>Higher</v>
      </c>
    </row>
    <row r="342" spans="1:3" x14ac:dyDescent="0.25">
      <c r="A342" s="5" t="s">
        <v>58</v>
      </c>
      <c r="B342" s="6">
        <v>1188</v>
      </c>
      <c r="C342" s="7" t="str" cm="1">
        <f t="array" ref="C342">_xlfn.IFS(B342 &lt;= 567, "Cheap", B342 &lt;= 1033, "Medium", TRUE, "Higher")</f>
        <v>Higher</v>
      </c>
    </row>
    <row r="343" spans="1:3" x14ac:dyDescent="0.25">
      <c r="A343" s="5" t="s">
        <v>58</v>
      </c>
      <c r="B343" s="6">
        <v>1204</v>
      </c>
      <c r="C343" s="7" t="str" cm="1">
        <f t="array" ref="C343">_xlfn.IFS(B343 &lt;= 567, "Cheap", B343 &lt;= 1033, "Medium", TRUE, "Higher")</f>
        <v>Higher</v>
      </c>
    </row>
    <row r="344" spans="1:3" x14ac:dyDescent="0.25">
      <c r="A344" s="5" t="s">
        <v>58</v>
      </c>
      <c r="B344" s="6">
        <v>1210</v>
      </c>
      <c r="C344" s="7" t="str" cm="1">
        <f t="array" ref="C344">_xlfn.IFS(B344 &lt;= 567, "Cheap", B344 &lt;= 1033, "Medium", TRUE, "Higher")</f>
        <v>Higher</v>
      </c>
    </row>
    <row r="345" spans="1:3" x14ac:dyDescent="0.25">
      <c r="A345" s="5" t="s">
        <v>58</v>
      </c>
      <c r="B345" s="6">
        <v>1233</v>
      </c>
      <c r="C345" s="7" t="str" cm="1">
        <f t="array" ref="C345">_xlfn.IFS(B345 &lt;= 567, "Cheap", B345 &lt;= 1033, "Medium", TRUE, "Higher")</f>
        <v>Higher</v>
      </c>
    </row>
    <row r="346" spans="1:3" x14ac:dyDescent="0.25">
      <c r="A346" s="5" t="s">
        <v>58</v>
      </c>
      <c r="B346" s="6">
        <v>1273</v>
      </c>
      <c r="C346" s="7" t="str" cm="1">
        <f t="array" ref="C346">_xlfn.IFS(B346 &lt;= 567, "Cheap", B346 &lt;= 1033, "Medium", TRUE, "Higher")</f>
        <v>Higher</v>
      </c>
    </row>
    <row r="347" spans="1:3" x14ac:dyDescent="0.25">
      <c r="A347" s="5" t="s">
        <v>58</v>
      </c>
      <c r="B347" s="6">
        <v>1275</v>
      </c>
      <c r="C347" s="7" t="str" cm="1">
        <f t="array" ref="C347">_xlfn.IFS(B347 &lt;= 567, "Cheap", B347 &lt;= 1033, "Medium", TRUE, "Higher")</f>
        <v>Higher</v>
      </c>
    </row>
    <row r="348" spans="1:3" x14ac:dyDescent="0.25">
      <c r="A348" s="5" t="s">
        <v>58</v>
      </c>
      <c r="B348" s="6">
        <v>1284</v>
      </c>
      <c r="C348" s="7" t="str" cm="1">
        <f t="array" ref="C348">_xlfn.IFS(B348 &lt;= 567, "Cheap", B348 &lt;= 1033, "Medium", TRUE, "Higher")</f>
        <v>Higher</v>
      </c>
    </row>
    <row r="349" spans="1:3" x14ac:dyDescent="0.25">
      <c r="A349" s="5" t="s">
        <v>58</v>
      </c>
      <c r="B349" s="6">
        <v>1286</v>
      </c>
      <c r="C349" s="7" t="str" cm="1">
        <f t="array" ref="C349">_xlfn.IFS(B349 &lt;= 567, "Cheap", B349 &lt;= 1033, "Medium", TRUE, "Higher")</f>
        <v>Higher</v>
      </c>
    </row>
    <row r="350" spans="1:3" x14ac:dyDescent="0.25">
      <c r="A350" s="5" t="s">
        <v>58</v>
      </c>
      <c r="B350" s="6">
        <v>1291</v>
      </c>
      <c r="C350" s="7" t="str" cm="1">
        <f t="array" ref="C350">_xlfn.IFS(B350 &lt;= 567, "Cheap", B350 &lt;= 1033, "Medium", TRUE, "Higher")</f>
        <v>Higher</v>
      </c>
    </row>
    <row r="351" spans="1:3" x14ac:dyDescent="0.25">
      <c r="A351" s="5" t="s">
        <v>58</v>
      </c>
      <c r="B351" s="6">
        <v>1302</v>
      </c>
      <c r="C351" s="7" t="str" cm="1">
        <f t="array" ref="C351">_xlfn.IFS(B351 &lt;= 567, "Cheap", B351 &lt;= 1033, "Medium", TRUE, "Higher")</f>
        <v>Higher</v>
      </c>
    </row>
    <row r="352" spans="1:3" x14ac:dyDescent="0.25">
      <c r="A352" s="5" t="s">
        <v>58</v>
      </c>
      <c r="B352" s="6">
        <v>1316</v>
      </c>
      <c r="C352" s="7" t="str" cm="1">
        <f t="array" ref="C352">_xlfn.IFS(B352 &lt;= 567, "Cheap", B352 &lt;= 1033, "Medium", TRUE, "Higher")</f>
        <v>Higher</v>
      </c>
    </row>
    <row r="353" spans="1:3" x14ac:dyDescent="0.25">
      <c r="A353" s="5" t="s">
        <v>58</v>
      </c>
      <c r="B353" s="6">
        <v>1326</v>
      </c>
      <c r="C353" s="7" t="str" cm="1">
        <f t="array" ref="C353">_xlfn.IFS(B353 &lt;= 567, "Cheap", B353 &lt;= 1033, "Medium", TRUE, "Higher")</f>
        <v>Higher</v>
      </c>
    </row>
    <row r="354" spans="1:3" x14ac:dyDescent="0.25">
      <c r="A354" s="5" t="s">
        <v>58</v>
      </c>
      <c r="B354" s="6">
        <v>1342</v>
      </c>
      <c r="C354" s="7" t="str" cm="1">
        <f t="array" ref="C354">_xlfn.IFS(B354 &lt;= 567, "Cheap", B354 &lt;= 1033, "Medium", TRUE, "Higher")</f>
        <v>Higher</v>
      </c>
    </row>
    <row r="355" spans="1:3" x14ac:dyDescent="0.25">
      <c r="A355" s="5" t="s">
        <v>58</v>
      </c>
      <c r="B355" s="6">
        <v>1369</v>
      </c>
      <c r="C355" s="7" t="str" cm="1">
        <f t="array" ref="C355">_xlfn.IFS(B355 &lt;= 567, "Cheap", B355 &lt;= 1033, "Medium", TRUE, "Higher")</f>
        <v>Higher</v>
      </c>
    </row>
    <row r="356" spans="1:3" x14ac:dyDescent="0.25">
      <c r="A356" s="5" t="s">
        <v>58</v>
      </c>
      <c r="B356" s="6">
        <v>1371</v>
      </c>
      <c r="C356" s="7" t="str" cm="1">
        <f t="array" ref="C356">_xlfn.IFS(B356 &lt;= 567, "Cheap", B356 &lt;= 1033, "Medium", TRUE, "Higher")</f>
        <v>Higher</v>
      </c>
    </row>
    <row r="357" spans="1:3" x14ac:dyDescent="0.25">
      <c r="A357" s="5" t="s">
        <v>58</v>
      </c>
      <c r="B357" s="6">
        <v>1386</v>
      </c>
      <c r="C357" s="7" t="str" cm="1">
        <f t="array" ref="C357">_xlfn.IFS(B357 &lt;= 567, "Cheap", B357 &lt;= 1033, "Medium", TRUE, "Higher")</f>
        <v>Higher</v>
      </c>
    </row>
    <row r="358" spans="1:3" x14ac:dyDescent="0.25">
      <c r="A358" s="5" t="s">
        <v>58</v>
      </c>
      <c r="B358" s="6">
        <v>1403</v>
      </c>
      <c r="C358" s="7" t="str" cm="1">
        <f t="array" ref="C358">_xlfn.IFS(B358 &lt;= 567, "Cheap", B358 &lt;= 1033, "Medium", TRUE, "Higher")</f>
        <v>Higher</v>
      </c>
    </row>
    <row r="359" spans="1:3" x14ac:dyDescent="0.25">
      <c r="A359" s="5" t="s">
        <v>58</v>
      </c>
      <c r="B359" s="6">
        <v>1417</v>
      </c>
      <c r="C359" s="7" t="str" cm="1">
        <f t="array" ref="C359">_xlfn.IFS(B359 &lt;= 567, "Cheap", B359 &lt;= 1033, "Medium", TRUE, "Higher")</f>
        <v>Higher</v>
      </c>
    </row>
    <row r="360" spans="1:3" x14ac:dyDescent="0.25">
      <c r="A360" s="5" t="s">
        <v>58</v>
      </c>
      <c r="B360" s="6">
        <v>1433</v>
      </c>
      <c r="C360" s="7" t="str" cm="1">
        <f t="array" ref="C360">_xlfn.IFS(B360 &lt;= 567, "Cheap", B360 &lt;= 1033, "Medium", TRUE, "Higher")</f>
        <v>Higher</v>
      </c>
    </row>
    <row r="361" spans="1:3" x14ac:dyDescent="0.25">
      <c r="A361" s="5" t="s">
        <v>58</v>
      </c>
      <c r="B361" s="6">
        <v>1441</v>
      </c>
      <c r="C361" s="7" t="str" cm="1">
        <f t="array" ref="C361">_xlfn.IFS(B361 &lt;= 567, "Cheap", B361 &lt;= 1033, "Medium", TRUE, "Higher")</f>
        <v>Higher</v>
      </c>
    </row>
    <row r="362" spans="1:3" x14ac:dyDescent="0.25">
      <c r="A362" s="5" t="s">
        <v>58</v>
      </c>
      <c r="B362" s="6">
        <v>1447</v>
      </c>
      <c r="C362" s="7" t="str" cm="1">
        <f t="array" ref="C362">_xlfn.IFS(B362 &lt;= 567, "Cheap", B362 &lt;= 1033, "Medium", TRUE, "Higher")</f>
        <v>Higher</v>
      </c>
    </row>
    <row r="363" spans="1:3" x14ac:dyDescent="0.25">
      <c r="A363" s="5" t="s">
        <v>58</v>
      </c>
      <c r="B363" s="6">
        <v>1460</v>
      </c>
      <c r="C363" s="7" t="str" cm="1">
        <f t="array" ref="C363">_xlfn.IFS(B363 &lt;= 567, "Cheap", B363 &lt;= 1033, "Medium", TRUE, "Higher")</f>
        <v>Higher</v>
      </c>
    </row>
    <row r="364" spans="1:3" x14ac:dyDescent="0.25">
      <c r="A364" s="5" t="s">
        <v>58</v>
      </c>
      <c r="B364" s="6">
        <v>1466</v>
      </c>
      <c r="C364" s="7" t="str" cm="1">
        <f t="array" ref="C364">_xlfn.IFS(B364 &lt;= 567, "Cheap", B364 &lt;= 1033, "Medium", TRUE, "Higher")</f>
        <v>Higher</v>
      </c>
    </row>
    <row r="365" spans="1:3" x14ac:dyDescent="0.25">
      <c r="A365" s="5" t="s">
        <v>58</v>
      </c>
      <c r="B365" s="6">
        <v>1467</v>
      </c>
      <c r="C365" s="7" t="str" cm="1">
        <f t="array" ref="C365">_xlfn.IFS(B365 &lt;= 567, "Cheap", B365 &lt;= 1033, "Medium", TRUE, "Higher")</f>
        <v>Higher</v>
      </c>
    </row>
    <row r="366" spans="1:3" x14ac:dyDescent="0.25">
      <c r="A366" s="5" t="s">
        <v>58</v>
      </c>
      <c r="B366" s="6">
        <v>1477</v>
      </c>
      <c r="C366" s="7" t="str" cm="1">
        <f t="array" ref="C366">_xlfn.IFS(B366 &lt;= 567, "Cheap", B366 &lt;= 1033, "Medium", TRUE, "Higher")</f>
        <v>Higher</v>
      </c>
    </row>
    <row r="367" spans="1:3" x14ac:dyDescent="0.25">
      <c r="A367" s="5" t="s">
        <v>52</v>
      </c>
      <c r="B367" s="6">
        <v>1068</v>
      </c>
      <c r="C367" s="7" t="str" cm="1">
        <f t="array" ref="C367">_xlfn.IFS(B367 &lt;= 567, "Cheap", B367 &lt;= 1033, "Medium", TRUE, "Higher")</f>
        <v>Higher</v>
      </c>
    </row>
    <row r="368" spans="1:3" x14ac:dyDescent="0.25">
      <c r="A368" s="5" t="s">
        <v>52</v>
      </c>
      <c r="B368" s="6">
        <v>1074</v>
      </c>
      <c r="C368" s="7" t="str" cm="1">
        <f t="array" ref="C368">_xlfn.IFS(B368 &lt;= 567, "Cheap", B368 &lt;= 1033, "Medium", TRUE, "Higher")</f>
        <v>Higher</v>
      </c>
    </row>
    <row r="369" spans="1:3" x14ac:dyDescent="0.25">
      <c r="A369" s="5" t="s">
        <v>52</v>
      </c>
      <c r="B369" s="6">
        <v>1080</v>
      </c>
      <c r="C369" s="7" t="str" cm="1">
        <f t="array" ref="C369">_xlfn.IFS(B369 &lt;= 567, "Cheap", B369 &lt;= 1033, "Medium", TRUE, "Higher")</f>
        <v>Higher</v>
      </c>
    </row>
    <row r="370" spans="1:3" x14ac:dyDescent="0.25">
      <c r="A370" s="5" t="s">
        <v>52</v>
      </c>
      <c r="B370" s="6">
        <v>1098</v>
      </c>
      <c r="C370" s="7" t="str" cm="1">
        <f t="array" ref="C370">_xlfn.IFS(B370 &lt;= 567, "Cheap", B370 &lt;= 1033, "Medium", TRUE, "Higher")</f>
        <v>Higher</v>
      </c>
    </row>
    <row r="371" spans="1:3" x14ac:dyDescent="0.25">
      <c r="A371" s="5" t="s">
        <v>52</v>
      </c>
      <c r="B371" s="6">
        <v>1100</v>
      </c>
      <c r="C371" s="7" t="str" cm="1">
        <f t="array" ref="C371">_xlfn.IFS(B371 &lt;= 567, "Cheap", B371 &lt;= 1033, "Medium", TRUE, "Higher")</f>
        <v>Higher</v>
      </c>
    </row>
    <row r="372" spans="1:3" x14ac:dyDescent="0.25">
      <c r="A372" s="5" t="s">
        <v>52</v>
      </c>
      <c r="B372" s="6">
        <v>1103</v>
      </c>
      <c r="C372" s="7" t="str" cm="1">
        <f t="array" ref="C372">_xlfn.IFS(B372 &lt;= 567, "Cheap", B372 &lt;= 1033, "Medium", TRUE, "Higher")</f>
        <v>Higher</v>
      </c>
    </row>
    <row r="373" spans="1:3" x14ac:dyDescent="0.25">
      <c r="A373" s="5" t="s">
        <v>52</v>
      </c>
      <c r="B373" s="6">
        <v>1107</v>
      </c>
      <c r="C373" s="7" t="str" cm="1">
        <f t="array" ref="C373">_xlfn.IFS(B373 &lt;= 567, "Cheap", B373 &lt;= 1033, "Medium", TRUE, "Higher")</f>
        <v>Higher</v>
      </c>
    </row>
    <row r="374" spans="1:3" x14ac:dyDescent="0.25">
      <c r="A374" s="5" t="s">
        <v>52</v>
      </c>
      <c r="B374" s="6">
        <v>1119</v>
      </c>
      <c r="C374" s="7" t="str" cm="1">
        <f t="array" ref="C374">_xlfn.IFS(B374 &lt;= 567, "Cheap", B374 &lt;= 1033, "Medium", TRUE, "Higher")</f>
        <v>Higher</v>
      </c>
    </row>
    <row r="375" spans="1:3" x14ac:dyDescent="0.25">
      <c r="A375" s="5" t="s">
        <v>52</v>
      </c>
      <c r="B375" s="6">
        <v>1127</v>
      </c>
      <c r="C375" s="7" t="str" cm="1">
        <f t="array" ref="C375">_xlfn.IFS(B375 &lt;= 567, "Cheap", B375 &lt;= 1033, "Medium", TRUE, "Higher")</f>
        <v>Higher</v>
      </c>
    </row>
    <row r="376" spans="1:3" x14ac:dyDescent="0.25">
      <c r="A376" s="5" t="s">
        <v>52</v>
      </c>
      <c r="B376" s="6">
        <v>1129</v>
      </c>
      <c r="C376" s="7" t="str" cm="1">
        <f t="array" ref="C376">_xlfn.IFS(B376 &lt;= 567, "Cheap", B376 &lt;= 1033, "Medium", TRUE, "Higher")</f>
        <v>Higher</v>
      </c>
    </row>
    <row r="377" spans="1:3" x14ac:dyDescent="0.25">
      <c r="A377" s="5" t="s">
        <v>52</v>
      </c>
      <c r="B377" s="6">
        <v>1139</v>
      </c>
      <c r="C377" s="7" t="str" cm="1">
        <f t="array" ref="C377">_xlfn.IFS(B377 &lt;= 567, "Cheap", B377 &lt;= 1033, "Medium", TRUE, "Higher")</f>
        <v>Higher</v>
      </c>
    </row>
    <row r="378" spans="1:3" x14ac:dyDescent="0.25">
      <c r="A378" s="5" t="s">
        <v>52</v>
      </c>
      <c r="B378" s="6">
        <v>1143</v>
      </c>
      <c r="C378" s="7" t="str" cm="1">
        <f t="array" ref="C378">_xlfn.IFS(B378 &lt;= 567, "Cheap", B378 &lt;= 1033, "Medium", TRUE, "Higher")</f>
        <v>Higher</v>
      </c>
    </row>
    <row r="379" spans="1:3" x14ac:dyDescent="0.25">
      <c r="A379" s="5" t="s">
        <v>52</v>
      </c>
      <c r="B379" s="6">
        <v>1149</v>
      </c>
      <c r="C379" s="7" t="str" cm="1">
        <f t="array" ref="C379">_xlfn.IFS(B379 &lt;= 567, "Cheap", B379 &lt;= 1033, "Medium", TRUE, "Higher")</f>
        <v>Higher</v>
      </c>
    </row>
    <row r="380" spans="1:3" x14ac:dyDescent="0.25">
      <c r="A380" s="5" t="s">
        <v>52</v>
      </c>
      <c r="B380" s="6">
        <v>1164</v>
      </c>
      <c r="C380" s="7" t="str" cm="1">
        <f t="array" ref="C380">_xlfn.IFS(B380 &lt;= 567, "Cheap", B380 &lt;= 1033, "Medium", TRUE, "Higher")</f>
        <v>Higher</v>
      </c>
    </row>
    <row r="381" spans="1:3" x14ac:dyDescent="0.25">
      <c r="A381" s="5" t="s">
        <v>52</v>
      </c>
      <c r="B381" s="6">
        <v>1190</v>
      </c>
      <c r="C381" s="7" t="str" cm="1">
        <f t="array" ref="C381">_xlfn.IFS(B381 &lt;= 567, "Cheap", B381 &lt;= 1033, "Medium", TRUE, "Higher")</f>
        <v>Higher</v>
      </c>
    </row>
    <row r="382" spans="1:3" x14ac:dyDescent="0.25">
      <c r="A382" s="5" t="s">
        <v>52</v>
      </c>
      <c r="B382" s="6">
        <v>1209</v>
      </c>
      <c r="C382" s="7" t="str" cm="1">
        <f t="array" ref="C382">_xlfn.IFS(B382 &lt;= 567, "Cheap", B382 &lt;= 1033, "Medium", TRUE, "Higher")</f>
        <v>Higher</v>
      </c>
    </row>
    <row r="383" spans="1:3" x14ac:dyDescent="0.25">
      <c r="A383" s="5" t="s">
        <v>52</v>
      </c>
      <c r="B383" s="6">
        <v>1224</v>
      </c>
      <c r="C383" s="7" t="str" cm="1">
        <f t="array" ref="C383">_xlfn.IFS(B383 &lt;= 567, "Cheap", B383 &lt;= 1033, "Medium", TRUE, "Higher")</f>
        <v>Higher</v>
      </c>
    </row>
    <row r="384" spans="1:3" x14ac:dyDescent="0.25">
      <c r="A384" s="5" t="s">
        <v>52</v>
      </c>
      <c r="B384" s="6">
        <v>1230</v>
      </c>
      <c r="C384" s="7" t="str" cm="1">
        <f t="array" ref="C384">_xlfn.IFS(B384 &lt;= 567, "Cheap", B384 &lt;= 1033, "Medium", TRUE, "Higher")</f>
        <v>Higher</v>
      </c>
    </row>
    <row r="385" spans="1:3" x14ac:dyDescent="0.25">
      <c r="A385" s="5" t="s">
        <v>52</v>
      </c>
      <c r="B385" s="6">
        <v>1256</v>
      </c>
      <c r="C385" s="7" t="str" cm="1">
        <f t="array" ref="C385">_xlfn.IFS(B385 &lt;= 567, "Cheap", B385 &lt;= 1033, "Medium", TRUE, "Higher")</f>
        <v>Higher</v>
      </c>
    </row>
    <row r="386" spans="1:3" x14ac:dyDescent="0.25">
      <c r="A386" s="5" t="s">
        <v>52</v>
      </c>
      <c r="B386" s="6">
        <v>1278</v>
      </c>
      <c r="C386" s="7" t="str" cm="1">
        <f t="array" ref="C386">_xlfn.IFS(B386 &lt;= 567, "Cheap", B386 &lt;= 1033, "Medium", TRUE, "Higher")</f>
        <v>Higher</v>
      </c>
    </row>
    <row r="387" spans="1:3" x14ac:dyDescent="0.25">
      <c r="A387" s="5" t="s">
        <v>52</v>
      </c>
      <c r="B387" s="6">
        <v>1293</v>
      </c>
      <c r="C387" s="7" t="str" cm="1">
        <f t="array" ref="C387">_xlfn.IFS(B387 &lt;= 567, "Cheap", B387 &lt;= 1033, "Medium", TRUE, "Higher")</f>
        <v>Higher</v>
      </c>
    </row>
    <row r="388" spans="1:3" x14ac:dyDescent="0.25">
      <c r="A388" s="5" t="s">
        <v>52</v>
      </c>
      <c r="B388" s="6">
        <v>1300</v>
      </c>
      <c r="C388" s="7" t="str" cm="1">
        <f t="array" ref="C388">_xlfn.IFS(B388 &lt;= 567, "Cheap", B388 &lt;= 1033, "Medium", TRUE, "Higher")</f>
        <v>Higher</v>
      </c>
    </row>
    <row r="389" spans="1:3" x14ac:dyDescent="0.25">
      <c r="A389" s="5" t="s">
        <v>52</v>
      </c>
      <c r="B389" s="6">
        <v>1320</v>
      </c>
      <c r="C389" s="7" t="str" cm="1">
        <f t="array" ref="C389">_xlfn.IFS(B389 &lt;= 567, "Cheap", B389 &lt;= 1033, "Medium", TRUE, "Higher")</f>
        <v>Higher</v>
      </c>
    </row>
    <row r="390" spans="1:3" x14ac:dyDescent="0.25">
      <c r="A390" s="5" t="s">
        <v>52</v>
      </c>
      <c r="B390" s="6">
        <v>1321</v>
      </c>
      <c r="C390" s="7" t="str" cm="1">
        <f t="array" ref="C390">_xlfn.IFS(B390 &lt;= 567, "Cheap", B390 &lt;= 1033, "Medium", TRUE, "Higher")</f>
        <v>Higher</v>
      </c>
    </row>
    <row r="391" spans="1:3" x14ac:dyDescent="0.25">
      <c r="A391" s="5" t="s">
        <v>52</v>
      </c>
      <c r="B391" s="6">
        <v>1337</v>
      </c>
      <c r="C391" s="7" t="str" cm="1">
        <f t="array" ref="C391">_xlfn.IFS(B391 &lt;= 567, "Cheap", B391 &lt;= 1033, "Medium", TRUE, "Higher")</f>
        <v>Higher</v>
      </c>
    </row>
    <row r="392" spans="1:3" x14ac:dyDescent="0.25">
      <c r="A392" s="5" t="s">
        <v>52</v>
      </c>
      <c r="B392" s="6">
        <v>1340</v>
      </c>
      <c r="C392" s="7" t="str" cm="1">
        <f t="array" ref="C392">_xlfn.IFS(B392 &lt;= 567, "Cheap", B392 &lt;= 1033, "Medium", TRUE, "Higher")</f>
        <v>Higher</v>
      </c>
    </row>
    <row r="393" spans="1:3" x14ac:dyDescent="0.25">
      <c r="A393" s="5" t="s">
        <v>52</v>
      </c>
      <c r="B393" s="6">
        <v>1350</v>
      </c>
      <c r="C393" s="7" t="str" cm="1">
        <f t="array" ref="C393">_xlfn.IFS(B393 &lt;= 567, "Cheap", B393 &lt;= 1033, "Medium", TRUE, "Higher")</f>
        <v>Higher</v>
      </c>
    </row>
    <row r="394" spans="1:3" x14ac:dyDescent="0.25">
      <c r="A394" s="5" t="s">
        <v>52</v>
      </c>
      <c r="B394" s="6">
        <v>1357</v>
      </c>
      <c r="C394" s="7" t="str" cm="1">
        <f t="array" ref="C394">_xlfn.IFS(B394 &lt;= 567, "Cheap", B394 &lt;= 1033, "Medium", TRUE, "Higher")</f>
        <v>Higher</v>
      </c>
    </row>
    <row r="395" spans="1:3" x14ac:dyDescent="0.25">
      <c r="A395" s="5" t="s">
        <v>52</v>
      </c>
      <c r="B395" s="6">
        <v>1373</v>
      </c>
      <c r="C395" s="7" t="str" cm="1">
        <f t="array" ref="C395">_xlfn.IFS(B395 &lt;= 567, "Cheap", B395 &lt;= 1033, "Medium", TRUE, "Higher")</f>
        <v>Higher</v>
      </c>
    </row>
    <row r="396" spans="1:3" x14ac:dyDescent="0.25">
      <c r="A396" s="5" t="s">
        <v>52</v>
      </c>
      <c r="B396" s="6">
        <v>1375</v>
      </c>
      <c r="C396" s="7" t="str" cm="1">
        <f t="array" ref="C396">_xlfn.IFS(B396 &lt;= 567, "Cheap", B396 &lt;= 1033, "Medium", TRUE, "Higher")</f>
        <v>Higher</v>
      </c>
    </row>
    <row r="397" spans="1:3" x14ac:dyDescent="0.25">
      <c r="A397" s="5" t="s">
        <v>52</v>
      </c>
      <c r="B397" s="6">
        <v>1392</v>
      </c>
      <c r="C397" s="7" t="str" cm="1">
        <f t="array" ref="C397">_xlfn.IFS(B397 &lt;= 567, "Cheap", B397 &lt;= 1033, "Medium", TRUE, "Higher")</f>
        <v>Higher</v>
      </c>
    </row>
    <row r="398" spans="1:3" x14ac:dyDescent="0.25">
      <c r="A398" s="5" t="s">
        <v>52</v>
      </c>
      <c r="B398" s="6">
        <v>1397</v>
      </c>
      <c r="C398" s="7" t="str" cm="1">
        <f t="array" ref="C398">_xlfn.IFS(B398 &lt;= 567, "Cheap", B398 &lt;= 1033, "Medium", TRUE, "Higher")</f>
        <v>Higher</v>
      </c>
    </row>
    <row r="399" spans="1:3" x14ac:dyDescent="0.25">
      <c r="A399" s="5" t="s">
        <v>52</v>
      </c>
      <c r="B399" s="6">
        <v>1406</v>
      </c>
      <c r="C399" s="7" t="str" cm="1">
        <f t="array" ref="C399">_xlfn.IFS(B399 &lt;= 567, "Cheap", B399 &lt;= 1033, "Medium", TRUE, "Higher")</f>
        <v>Higher</v>
      </c>
    </row>
    <row r="400" spans="1:3" x14ac:dyDescent="0.25">
      <c r="A400" s="5" t="s">
        <v>52</v>
      </c>
      <c r="B400" s="6">
        <v>1426</v>
      </c>
      <c r="C400" s="7" t="str" cm="1">
        <f t="array" ref="C400">_xlfn.IFS(B400 &lt;= 567, "Cheap", B400 &lt;= 1033, "Medium", TRUE, "Higher")</f>
        <v>Higher</v>
      </c>
    </row>
    <row r="401" spans="1:3" x14ac:dyDescent="0.25">
      <c r="A401" s="5" t="s">
        <v>52</v>
      </c>
      <c r="B401" s="6">
        <v>1427</v>
      </c>
      <c r="C401" s="7" t="str" cm="1">
        <f t="array" ref="C401">_xlfn.IFS(B401 &lt;= 567, "Cheap", B401 &lt;= 1033, "Medium", TRUE, "Higher")</f>
        <v>Higher</v>
      </c>
    </row>
    <row r="402" spans="1:3" x14ac:dyDescent="0.25">
      <c r="A402" s="5" t="s">
        <v>52</v>
      </c>
      <c r="B402" s="6">
        <v>1437</v>
      </c>
      <c r="C402" s="7" t="str" cm="1">
        <f t="array" ref="C402">_xlfn.IFS(B402 &lt;= 567, "Cheap", B402 &lt;= 1033, "Medium", TRUE, "Higher")</f>
        <v>Higher</v>
      </c>
    </row>
    <row r="403" spans="1:3" x14ac:dyDescent="0.25">
      <c r="A403" s="5" t="s">
        <v>52</v>
      </c>
      <c r="B403" s="6">
        <v>1458</v>
      </c>
      <c r="C403" s="7" t="str" cm="1">
        <f t="array" ref="C403">_xlfn.IFS(B403 &lt;= 567, "Cheap", B403 &lt;= 1033, "Medium", TRUE, "Higher")</f>
        <v>Higher</v>
      </c>
    </row>
    <row r="404" spans="1:3" x14ac:dyDescent="0.25">
      <c r="A404" s="5" t="s">
        <v>52</v>
      </c>
      <c r="B404" s="6">
        <v>1480</v>
      </c>
      <c r="C404" s="7" t="str" cm="1">
        <f t="array" ref="C404">_xlfn.IFS(B404 &lt;= 567, "Cheap", B404 &lt;= 1033, "Medium", TRUE, "Higher")</f>
        <v>Higher</v>
      </c>
    </row>
    <row r="405" spans="1:3" x14ac:dyDescent="0.25">
      <c r="A405" s="5" t="s">
        <v>52</v>
      </c>
      <c r="B405" s="6">
        <v>1480</v>
      </c>
      <c r="C405" s="7" t="str" cm="1">
        <f t="array" ref="C405">_xlfn.IFS(B405 &lt;= 567, "Cheap", B405 &lt;= 1033, "Medium", TRUE, "Higher")</f>
        <v>Higher</v>
      </c>
    </row>
    <row r="406" spans="1:3" x14ac:dyDescent="0.25">
      <c r="A406" s="5" t="s">
        <v>24</v>
      </c>
      <c r="B406" s="6">
        <v>1065</v>
      </c>
      <c r="C406" s="7" t="str" cm="1">
        <f t="array" ref="C406">_xlfn.IFS(B406 &lt;= 567, "Cheap", B406 &lt;= 1033, "Medium", TRUE, "Higher")</f>
        <v>Higher</v>
      </c>
    </row>
    <row r="407" spans="1:3" x14ac:dyDescent="0.25">
      <c r="A407" s="5" t="s">
        <v>24</v>
      </c>
      <c r="B407" s="6">
        <v>1088</v>
      </c>
      <c r="C407" s="7" t="str" cm="1">
        <f t="array" ref="C407">_xlfn.IFS(B407 &lt;= 567, "Cheap", B407 &lt;= 1033, "Medium", TRUE, "Higher")</f>
        <v>Higher</v>
      </c>
    </row>
    <row r="408" spans="1:3" x14ac:dyDescent="0.25">
      <c r="A408" s="5" t="s">
        <v>24</v>
      </c>
      <c r="B408" s="6">
        <v>1090</v>
      </c>
      <c r="C408" s="7" t="str" cm="1">
        <f t="array" ref="C408">_xlfn.IFS(B408 &lt;= 567, "Cheap", B408 &lt;= 1033, "Medium", TRUE, "Higher")</f>
        <v>Higher</v>
      </c>
    </row>
    <row r="409" spans="1:3" x14ac:dyDescent="0.25">
      <c r="A409" s="5" t="s">
        <v>24</v>
      </c>
      <c r="B409" s="6">
        <v>1100</v>
      </c>
      <c r="C409" s="7" t="str" cm="1">
        <f t="array" ref="C409">_xlfn.IFS(B409 &lt;= 567, "Cheap", B409 &lt;= 1033, "Medium", TRUE, "Higher")</f>
        <v>Higher</v>
      </c>
    </row>
    <row r="410" spans="1:3" x14ac:dyDescent="0.25">
      <c r="A410" s="5" t="s">
        <v>24</v>
      </c>
      <c r="B410" s="6">
        <v>1111</v>
      </c>
      <c r="C410" s="7" t="str" cm="1">
        <f t="array" ref="C410">_xlfn.IFS(B410 &lt;= 567, "Cheap", B410 &lt;= 1033, "Medium", TRUE, "Higher")</f>
        <v>Higher</v>
      </c>
    </row>
    <row r="411" spans="1:3" x14ac:dyDescent="0.25">
      <c r="A411" s="5" t="s">
        <v>24</v>
      </c>
      <c r="B411" s="6">
        <v>1116</v>
      </c>
      <c r="C411" s="7" t="str" cm="1">
        <f t="array" ref="C411">_xlfn.IFS(B411 &lt;= 567, "Cheap", B411 &lt;= 1033, "Medium", TRUE, "Higher")</f>
        <v>Higher</v>
      </c>
    </row>
    <row r="412" spans="1:3" x14ac:dyDescent="0.25">
      <c r="A412" s="5" t="s">
        <v>24</v>
      </c>
      <c r="B412" s="6">
        <v>1132</v>
      </c>
      <c r="C412" s="7" t="str" cm="1">
        <f t="array" ref="C412">_xlfn.IFS(B412 &lt;= 567, "Cheap", B412 &lt;= 1033, "Medium", TRUE, "Higher")</f>
        <v>Higher</v>
      </c>
    </row>
    <row r="413" spans="1:3" x14ac:dyDescent="0.25">
      <c r="A413" s="5" t="s">
        <v>24</v>
      </c>
      <c r="B413" s="6">
        <v>1164</v>
      </c>
      <c r="C413" s="7" t="str" cm="1">
        <f t="array" ref="C413">_xlfn.IFS(B413 &lt;= 567, "Cheap", B413 &lt;= 1033, "Medium", TRUE, "Higher")</f>
        <v>Higher</v>
      </c>
    </row>
    <row r="414" spans="1:3" x14ac:dyDescent="0.25">
      <c r="A414" s="5" t="s">
        <v>24</v>
      </c>
      <c r="B414" s="6">
        <v>1166</v>
      </c>
      <c r="C414" s="7" t="str" cm="1">
        <f t="array" ref="C414">_xlfn.IFS(B414 &lt;= 567, "Cheap", B414 &lt;= 1033, "Medium", TRUE, "Higher")</f>
        <v>Higher</v>
      </c>
    </row>
    <row r="415" spans="1:3" x14ac:dyDescent="0.25">
      <c r="A415" s="5" t="s">
        <v>24</v>
      </c>
      <c r="B415" s="6">
        <v>1167</v>
      </c>
      <c r="C415" s="7" t="str" cm="1">
        <f t="array" ref="C415">_xlfn.IFS(B415 &lt;= 567, "Cheap", B415 &lt;= 1033, "Medium", TRUE, "Higher")</f>
        <v>Higher</v>
      </c>
    </row>
    <row r="416" spans="1:3" x14ac:dyDescent="0.25">
      <c r="A416" s="5" t="s">
        <v>24</v>
      </c>
      <c r="B416" s="6">
        <v>1170</v>
      </c>
      <c r="C416" s="7" t="str" cm="1">
        <f t="array" ref="C416">_xlfn.IFS(B416 &lt;= 567, "Cheap", B416 &lt;= 1033, "Medium", TRUE, "Higher")</f>
        <v>Higher</v>
      </c>
    </row>
    <row r="417" spans="1:3" x14ac:dyDescent="0.25">
      <c r="A417" s="5" t="s">
        <v>24</v>
      </c>
      <c r="B417" s="6">
        <v>1186</v>
      </c>
      <c r="C417" s="7" t="str" cm="1">
        <f t="array" ref="C417">_xlfn.IFS(B417 &lt;= 567, "Cheap", B417 &lt;= 1033, "Medium", TRUE, "Higher")</f>
        <v>Higher</v>
      </c>
    </row>
    <row r="418" spans="1:3" x14ac:dyDescent="0.25">
      <c r="A418" s="5" t="s">
        <v>24</v>
      </c>
      <c r="B418" s="6">
        <v>1221</v>
      </c>
      <c r="C418" s="7" t="str" cm="1">
        <f t="array" ref="C418">_xlfn.IFS(B418 &lt;= 567, "Cheap", B418 &lt;= 1033, "Medium", TRUE, "Higher")</f>
        <v>Higher</v>
      </c>
    </row>
    <row r="419" spans="1:3" x14ac:dyDescent="0.25">
      <c r="A419" s="5" t="s">
        <v>24</v>
      </c>
      <c r="B419" s="6">
        <v>1221</v>
      </c>
      <c r="C419" s="7" t="str" cm="1">
        <f t="array" ref="C419">_xlfn.IFS(B419 &lt;= 567, "Cheap", B419 &lt;= 1033, "Medium", TRUE, "Higher")</f>
        <v>Higher</v>
      </c>
    </row>
    <row r="420" spans="1:3" x14ac:dyDescent="0.25">
      <c r="A420" s="5" t="s">
        <v>24</v>
      </c>
      <c r="B420" s="6">
        <v>1222</v>
      </c>
      <c r="C420" s="7" t="str" cm="1">
        <f t="array" ref="C420">_xlfn.IFS(B420 &lt;= 567, "Cheap", B420 &lt;= 1033, "Medium", TRUE, "Higher")</f>
        <v>Higher</v>
      </c>
    </row>
    <row r="421" spans="1:3" x14ac:dyDescent="0.25">
      <c r="A421" s="5" t="s">
        <v>24</v>
      </c>
      <c r="B421" s="6">
        <v>1223</v>
      </c>
      <c r="C421" s="7" t="str" cm="1">
        <f t="array" ref="C421">_xlfn.IFS(B421 &lt;= 567, "Cheap", B421 &lt;= 1033, "Medium", TRUE, "Higher")</f>
        <v>Higher</v>
      </c>
    </row>
    <row r="422" spans="1:3" x14ac:dyDescent="0.25">
      <c r="A422" s="5" t="s">
        <v>24</v>
      </c>
      <c r="B422" s="6">
        <v>1241</v>
      </c>
      <c r="C422" s="7" t="str" cm="1">
        <f t="array" ref="C422">_xlfn.IFS(B422 &lt;= 567, "Cheap", B422 &lt;= 1033, "Medium", TRUE, "Higher")</f>
        <v>Higher</v>
      </c>
    </row>
    <row r="423" spans="1:3" x14ac:dyDescent="0.25">
      <c r="A423" s="5" t="s">
        <v>24</v>
      </c>
      <c r="B423" s="6">
        <v>1257</v>
      </c>
      <c r="C423" s="7" t="str" cm="1">
        <f t="array" ref="C423">_xlfn.IFS(B423 &lt;= 567, "Cheap", B423 &lt;= 1033, "Medium", TRUE, "Higher")</f>
        <v>Higher</v>
      </c>
    </row>
    <row r="424" spans="1:3" x14ac:dyDescent="0.25">
      <c r="A424" s="5" t="s">
        <v>24</v>
      </c>
      <c r="B424" s="6">
        <v>1258</v>
      </c>
      <c r="C424" s="7" t="str" cm="1">
        <f t="array" ref="C424">_xlfn.IFS(B424 &lt;= 567, "Cheap", B424 &lt;= 1033, "Medium", TRUE, "Higher")</f>
        <v>Higher</v>
      </c>
    </row>
    <row r="425" spans="1:3" x14ac:dyDescent="0.25">
      <c r="A425" s="5" t="s">
        <v>24</v>
      </c>
      <c r="B425" s="6">
        <v>1267</v>
      </c>
      <c r="C425" s="7" t="str" cm="1">
        <f t="array" ref="C425">_xlfn.IFS(B425 &lt;= 567, "Cheap", B425 &lt;= 1033, "Medium", TRUE, "Higher")</f>
        <v>Higher</v>
      </c>
    </row>
    <row r="426" spans="1:3" x14ac:dyDescent="0.25">
      <c r="A426" s="5" t="s">
        <v>24</v>
      </c>
      <c r="B426" s="6">
        <v>1276</v>
      </c>
      <c r="C426" s="7" t="str" cm="1">
        <f t="array" ref="C426">_xlfn.IFS(B426 &lt;= 567, "Cheap", B426 &lt;= 1033, "Medium", TRUE, "Higher")</f>
        <v>Higher</v>
      </c>
    </row>
    <row r="427" spans="1:3" x14ac:dyDescent="0.25">
      <c r="A427" s="5" t="s">
        <v>24</v>
      </c>
      <c r="B427" s="6">
        <v>1286</v>
      </c>
      <c r="C427" s="7" t="str" cm="1">
        <f t="array" ref="C427">_xlfn.IFS(B427 &lt;= 567, "Cheap", B427 &lt;= 1033, "Medium", TRUE, "Higher")</f>
        <v>Higher</v>
      </c>
    </row>
    <row r="428" spans="1:3" x14ac:dyDescent="0.25">
      <c r="A428" s="5" t="s">
        <v>24</v>
      </c>
      <c r="B428" s="6">
        <v>1292</v>
      </c>
      <c r="C428" s="7" t="str" cm="1">
        <f t="array" ref="C428">_xlfn.IFS(B428 &lt;= 567, "Cheap", B428 &lt;= 1033, "Medium", TRUE, "Higher")</f>
        <v>Higher</v>
      </c>
    </row>
    <row r="429" spans="1:3" x14ac:dyDescent="0.25">
      <c r="A429" s="5" t="s">
        <v>24</v>
      </c>
      <c r="B429" s="6">
        <v>1294</v>
      </c>
      <c r="C429" s="7" t="str" cm="1">
        <f t="array" ref="C429">_xlfn.IFS(B429 &lt;= 567, "Cheap", B429 &lt;= 1033, "Medium", TRUE, "Higher")</f>
        <v>Higher</v>
      </c>
    </row>
    <row r="430" spans="1:3" x14ac:dyDescent="0.25">
      <c r="A430" s="5" t="s">
        <v>24</v>
      </c>
      <c r="B430" s="6">
        <v>1354</v>
      </c>
      <c r="C430" s="7" t="str" cm="1">
        <f t="array" ref="C430">_xlfn.IFS(B430 &lt;= 567, "Cheap", B430 &lt;= 1033, "Medium", TRUE, "Higher")</f>
        <v>Higher</v>
      </c>
    </row>
    <row r="431" spans="1:3" x14ac:dyDescent="0.25">
      <c r="A431" s="5" t="s">
        <v>24</v>
      </c>
      <c r="B431" s="6">
        <v>1367</v>
      </c>
      <c r="C431" s="7" t="str" cm="1">
        <f t="array" ref="C431">_xlfn.IFS(B431 &lt;= 567, "Cheap", B431 &lt;= 1033, "Medium", TRUE, "Higher")</f>
        <v>Higher</v>
      </c>
    </row>
    <row r="432" spans="1:3" x14ac:dyDescent="0.25">
      <c r="A432" s="5" t="s">
        <v>24</v>
      </c>
      <c r="B432" s="6">
        <v>1369</v>
      </c>
      <c r="C432" s="7" t="str" cm="1">
        <f t="array" ref="C432">_xlfn.IFS(B432 &lt;= 567, "Cheap", B432 &lt;= 1033, "Medium", TRUE, "Higher")</f>
        <v>Higher</v>
      </c>
    </row>
    <row r="433" spans="1:3" x14ac:dyDescent="0.25">
      <c r="A433" s="5" t="s">
        <v>24</v>
      </c>
      <c r="B433" s="6">
        <v>1384</v>
      </c>
      <c r="C433" s="7" t="str" cm="1">
        <f t="array" ref="C433">_xlfn.IFS(B433 &lt;= 567, "Cheap", B433 &lt;= 1033, "Medium", TRUE, "Higher")</f>
        <v>Higher</v>
      </c>
    </row>
    <row r="434" spans="1:3" x14ac:dyDescent="0.25">
      <c r="A434" s="5" t="s">
        <v>24</v>
      </c>
      <c r="B434" s="6">
        <v>1394</v>
      </c>
      <c r="C434" s="7" t="str" cm="1">
        <f t="array" ref="C434">_xlfn.IFS(B434 &lt;= 567, "Cheap", B434 &lt;= 1033, "Medium", TRUE, "Higher")</f>
        <v>Higher</v>
      </c>
    </row>
    <row r="435" spans="1:3" x14ac:dyDescent="0.25">
      <c r="A435" s="5" t="s">
        <v>24</v>
      </c>
      <c r="B435" s="6">
        <v>1410</v>
      </c>
      <c r="C435" s="7" t="str" cm="1">
        <f t="array" ref="C435">_xlfn.IFS(B435 &lt;= 567, "Cheap", B435 &lt;= 1033, "Medium", TRUE, "Higher")</f>
        <v>Higher</v>
      </c>
    </row>
    <row r="436" spans="1:3" x14ac:dyDescent="0.25">
      <c r="A436" s="5" t="s">
        <v>24</v>
      </c>
      <c r="B436" s="6">
        <v>1430</v>
      </c>
      <c r="C436" s="7" t="str" cm="1">
        <f t="array" ref="C436">_xlfn.IFS(B436 &lt;= 567, "Cheap", B436 &lt;= 1033, "Medium", TRUE, "Higher")</f>
        <v>Higher</v>
      </c>
    </row>
    <row r="437" spans="1:3" x14ac:dyDescent="0.25">
      <c r="A437" s="5" t="s">
        <v>24</v>
      </c>
      <c r="B437" s="6">
        <v>1435</v>
      </c>
      <c r="C437" s="7" t="str" cm="1">
        <f t="array" ref="C437">_xlfn.IFS(B437 &lt;= 567, "Cheap", B437 &lt;= 1033, "Medium", TRUE, "Higher")</f>
        <v>Higher</v>
      </c>
    </row>
    <row r="438" spans="1:3" x14ac:dyDescent="0.25">
      <c r="A438" s="5" t="s">
        <v>24</v>
      </c>
      <c r="B438" s="6">
        <v>1464</v>
      </c>
      <c r="C438" s="7" t="str" cm="1">
        <f t="array" ref="C438">_xlfn.IFS(B438 &lt;= 567, "Cheap", B438 &lt;= 1033, "Medium", TRUE, "Higher")</f>
        <v>Higher</v>
      </c>
    </row>
    <row r="439" spans="1:3" x14ac:dyDescent="0.25">
      <c r="A439" s="5" t="s">
        <v>24</v>
      </c>
      <c r="B439" s="6">
        <v>1466</v>
      </c>
      <c r="C439" s="7" t="str" cm="1">
        <f t="array" ref="C439">_xlfn.IFS(B439 &lt;= 567, "Cheap", B439 &lt;= 1033, "Medium", TRUE, "Higher")</f>
        <v>Higher</v>
      </c>
    </row>
    <row r="440" spans="1:3" x14ac:dyDescent="0.25">
      <c r="A440" s="5" t="s">
        <v>24</v>
      </c>
      <c r="B440" s="6">
        <v>1467</v>
      </c>
      <c r="C440" s="7" t="str" cm="1">
        <f t="array" ref="C440">_xlfn.IFS(B440 &lt;= 567, "Cheap", B440 &lt;= 1033, "Medium", TRUE, "Higher")</f>
        <v>Higher</v>
      </c>
    </row>
    <row r="441" spans="1:3" x14ac:dyDescent="0.25">
      <c r="A441" s="5" t="s">
        <v>24</v>
      </c>
      <c r="B441" s="6">
        <v>1470</v>
      </c>
      <c r="C441" s="7" t="str" cm="1">
        <f t="array" ref="C441">_xlfn.IFS(B441 &lt;= 567, "Cheap", B441 &lt;= 1033, "Medium", TRUE, "Higher")</f>
        <v>Higher</v>
      </c>
    </row>
    <row r="442" spans="1:3" x14ac:dyDescent="0.25">
      <c r="A442" s="5" t="s">
        <v>24</v>
      </c>
      <c r="B442" s="6">
        <v>1485</v>
      </c>
      <c r="C442" s="7" t="str" cm="1">
        <f t="array" ref="C442">_xlfn.IFS(B442 &lt;= 567, "Cheap", B442 &lt;= 1033, "Medium", TRUE, "Higher")</f>
        <v>Higher</v>
      </c>
    </row>
    <row r="443" spans="1:3" x14ac:dyDescent="0.25">
      <c r="A443" s="5" t="s">
        <v>47</v>
      </c>
      <c r="B443" s="6">
        <v>1047</v>
      </c>
      <c r="C443" s="7" t="str" cm="1">
        <f t="array" ref="C443">_xlfn.IFS(B443 &lt;= 567, "Cheap", B443 &lt;= 1033, "Medium", TRUE, "Higher")</f>
        <v>Higher</v>
      </c>
    </row>
    <row r="444" spans="1:3" x14ac:dyDescent="0.25">
      <c r="A444" s="5" t="s">
        <v>47</v>
      </c>
      <c r="B444" s="6">
        <v>1053</v>
      </c>
      <c r="C444" s="7" t="str" cm="1">
        <f t="array" ref="C444">_xlfn.IFS(B444 &lt;= 567, "Cheap", B444 &lt;= 1033, "Medium", TRUE, "Higher")</f>
        <v>Higher</v>
      </c>
    </row>
    <row r="445" spans="1:3" x14ac:dyDescent="0.25">
      <c r="A445" s="5" t="s">
        <v>47</v>
      </c>
      <c r="B445" s="6">
        <v>1060</v>
      </c>
      <c r="C445" s="7" t="str" cm="1">
        <f t="array" ref="C445">_xlfn.IFS(B445 &lt;= 567, "Cheap", B445 &lt;= 1033, "Medium", TRUE, "Higher")</f>
        <v>Higher</v>
      </c>
    </row>
    <row r="446" spans="1:3" x14ac:dyDescent="0.25">
      <c r="A446" s="5" t="s">
        <v>47</v>
      </c>
      <c r="B446" s="6">
        <v>1061</v>
      </c>
      <c r="C446" s="7" t="str" cm="1">
        <f t="array" ref="C446">_xlfn.IFS(B446 &lt;= 567, "Cheap", B446 &lt;= 1033, "Medium", TRUE, "Higher")</f>
        <v>Higher</v>
      </c>
    </row>
    <row r="447" spans="1:3" x14ac:dyDescent="0.25">
      <c r="A447" s="5" t="s">
        <v>47</v>
      </c>
      <c r="B447" s="6">
        <v>1064</v>
      </c>
      <c r="C447" s="7" t="str" cm="1">
        <f t="array" ref="C447">_xlfn.IFS(B447 &lt;= 567, "Cheap", B447 &lt;= 1033, "Medium", TRUE, "Higher")</f>
        <v>Higher</v>
      </c>
    </row>
    <row r="448" spans="1:3" x14ac:dyDescent="0.25">
      <c r="A448" s="5" t="s">
        <v>47</v>
      </c>
      <c r="B448" s="6">
        <v>1121</v>
      </c>
      <c r="C448" s="7" t="str" cm="1">
        <f t="array" ref="C448">_xlfn.IFS(B448 &lt;= 567, "Cheap", B448 &lt;= 1033, "Medium", TRUE, "Higher")</f>
        <v>Higher</v>
      </c>
    </row>
    <row r="449" spans="1:3" x14ac:dyDescent="0.25">
      <c r="A449" s="5" t="s">
        <v>47</v>
      </c>
      <c r="B449" s="6">
        <v>1138</v>
      </c>
      <c r="C449" s="7" t="str" cm="1">
        <f t="array" ref="C449">_xlfn.IFS(B449 &lt;= 567, "Cheap", B449 &lt;= 1033, "Medium", TRUE, "Higher")</f>
        <v>Higher</v>
      </c>
    </row>
    <row r="450" spans="1:3" x14ac:dyDescent="0.25">
      <c r="A450" s="5" t="s">
        <v>47</v>
      </c>
      <c r="B450" s="6">
        <v>1186</v>
      </c>
      <c r="C450" s="7" t="str" cm="1">
        <f t="array" ref="C450">_xlfn.IFS(B450 &lt;= 567, "Cheap", B450 &lt;= 1033, "Medium", TRUE, "Higher")</f>
        <v>Higher</v>
      </c>
    </row>
    <row r="451" spans="1:3" x14ac:dyDescent="0.25">
      <c r="A451" s="5" t="s">
        <v>47</v>
      </c>
      <c r="B451" s="6">
        <v>1187</v>
      </c>
      <c r="C451" s="7" t="str" cm="1">
        <f t="array" ref="C451">_xlfn.IFS(B451 &lt;= 567, "Cheap", B451 &lt;= 1033, "Medium", TRUE, "Higher")</f>
        <v>Higher</v>
      </c>
    </row>
    <row r="452" spans="1:3" x14ac:dyDescent="0.25">
      <c r="A452" s="5" t="s">
        <v>47</v>
      </c>
      <c r="B452" s="6">
        <v>1234</v>
      </c>
      <c r="C452" s="7" t="str" cm="1">
        <f t="array" ref="C452">_xlfn.IFS(B452 &lt;= 567, "Cheap", B452 &lt;= 1033, "Medium", TRUE, "Higher")</f>
        <v>Higher</v>
      </c>
    </row>
    <row r="453" spans="1:3" x14ac:dyDescent="0.25">
      <c r="A453" s="5" t="s">
        <v>47</v>
      </c>
      <c r="B453" s="6">
        <v>1238</v>
      </c>
      <c r="C453" s="7" t="str" cm="1">
        <f t="array" ref="C453">_xlfn.IFS(B453 &lt;= 567, "Cheap", B453 &lt;= 1033, "Medium", TRUE, "Higher")</f>
        <v>Higher</v>
      </c>
    </row>
    <row r="454" spans="1:3" x14ac:dyDescent="0.25">
      <c r="A454" s="5" t="s">
        <v>47</v>
      </c>
      <c r="B454" s="6">
        <v>1269</v>
      </c>
      <c r="C454" s="7" t="str" cm="1">
        <f t="array" ref="C454">_xlfn.IFS(B454 &lt;= 567, "Cheap", B454 &lt;= 1033, "Medium", TRUE, "Higher")</f>
        <v>Higher</v>
      </c>
    </row>
    <row r="455" spans="1:3" x14ac:dyDescent="0.25">
      <c r="A455" s="5" t="s">
        <v>47</v>
      </c>
      <c r="B455" s="6">
        <v>1274</v>
      </c>
      <c r="C455" s="7" t="str" cm="1">
        <f t="array" ref="C455">_xlfn.IFS(B455 &lt;= 567, "Cheap", B455 &lt;= 1033, "Medium", TRUE, "Higher")</f>
        <v>Higher</v>
      </c>
    </row>
    <row r="456" spans="1:3" x14ac:dyDescent="0.25">
      <c r="A456" s="5" t="s">
        <v>47</v>
      </c>
      <c r="B456" s="6">
        <v>1278</v>
      </c>
      <c r="C456" s="7" t="str" cm="1">
        <f t="array" ref="C456">_xlfn.IFS(B456 &lt;= 567, "Cheap", B456 &lt;= 1033, "Medium", TRUE, "Higher")</f>
        <v>Higher</v>
      </c>
    </row>
    <row r="457" spans="1:3" x14ac:dyDescent="0.25">
      <c r="A457" s="5" t="s">
        <v>47</v>
      </c>
      <c r="B457" s="6">
        <v>1279</v>
      </c>
      <c r="C457" s="7" t="str" cm="1">
        <f t="array" ref="C457">_xlfn.IFS(B457 &lt;= 567, "Cheap", B457 &lt;= 1033, "Medium", TRUE, "Higher")</f>
        <v>Higher</v>
      </c>
    </row>
    <row r="458" spans="1:3" x14ac:dyDescent="0.25">
      <c r="A458" s="5" t="s">
        <v>47</v>
      </c>
      <c r="B458" s="6">
        <v>1283</v>
      </c>
      <c r="C458" s="7" t="str" cm="1">
        <f t="array" ref="C458">_xlfn.IFS(B458 &lt;= 567, "Cheap", B458 &lt;= 1033, "Medium", TRUE, "Higher")</f>
        <v>Higher</v>
      </c>
    </row>
    <row r="459" spans="1:3" x14ac:dyDescent="0.25">
      <c r="A459" s="5" t="s">
        <v>47</v>
      </c>
      <c r="B459" s="6">
        <v>1292</v>
      </c>
      <c r="C459" s="7" t="str" cm="1">
        <f t="array" ref="C459">_xlfn.IFS(B459 &lt;= 567, "Cheap", B459 &lt;= 1033, "Medium", TRUE, "Higher")</f>
        <v>Higher</v>
      </c>
    </row>
    <row r="460" spans="1:3" x14ac:dyDescent="0.25">
      <c r="A460" s="5" t="s">
        <v>47</v>
      </c>
      <c r="B460" s="6">
        <v>1298</v>
      </c>
      <c r="C460" s="7" t="str" cm="1">
        <f t="array" ref="C460">_xlfn.IFS(B460 &lt;= 567, "Cheap", B460 &lt;= 1033, "Medium", TRUE, "Higher")</f>
        <v>Higher</v>
      </c>
    </row>
    <row r="461" spans="1:3" x14ac:dyDescent="0.25">
      <c r="A461" s="5" t="s">
        <v>47</v>
      </c>
      <c r="B461" s="6">
        <v>1300</v>
      </c>
      <c r="C461" s="7" t="str" cm="1">
        <f t="array" ref="C461">_xlfn.IFS(B461 &lt;= 567, "Cheap", B461 &lt;= 1033, "Medium", TRUE, "Higher")</f>
        <v>Higher</v>
      </c>
    </row>
    <row r="462" spans="1:3" x14ac:dyDescent="0.25">
      <c r="A462" s="5" t="s">
        <v>47</v>
      </c>
      <c r="B462" s="6">
        <v>1302</v>
      </c>
      <c r="C462" s="7" t="str" cm="1">
        <f t="array" ref="C462">_xlfn.IFS(B462 &lt;= 567, "Cheap", B462 &lt;= 1033, "Medium", TRUE, "Higher")</f>
        <v>Higher</v>
      </c>
    </row>
    <row r="463" spans="1:3" x14ac:dyDescent="0.25">
      <c r="A463" s="5" t="s">
        <v>47</v>
      </c>
      <c r="B463" s="6">
        <v>1303</v>
      </c>
      <c r="C463" s="7" t="str" cm="1">
        <f t="array" ref="C463">_xlfn.IFS(B463 &lt;= 567, "Cheap", B463 &lt;= 1033, "Medium", TRUE, "Higher")</f>
        <v>Higher</v>
      </c>
    </row>
    <row r="464" spans="1:3" x14ac:dyDescent="0.25">
      <c r="A464" s="5" t="s">
        <v>47</v>
      </c>
      <c r="B464" s="6">
        <v>1317</v>
      </c>
      <c r="C464" s="7" t="str" cm="1">
        <f t="array" ref="C464">_xlfn.IFS(B464 &lt;= 567, "Cheap", B464 &lt;= 1033, "Medium", TRUE, "Higher")</f>
        <v>Higher</v>
      </c>
    </row>
    <row r="465" spans="1:3" x14ac:dyDescent="0.25">
      <c r="A465" s="5" t="s">
        <v>47</v>
      </c>
      <c r="B465" s="6">
        <v>1356</v>
      </c>
      <c r="C465" s="7" t="str" cm="1">
        <f t="array" ref="C465">_xlfn.IFS(B465 &lt;= 567, "Cheap", B465 &lt;= 1033, "Medium", TRUE, "Higher")</f>
        <v>Higher</v>
      </c>
    </row>
    <row r="466" spans="1:3" x14ac:dyDescent="0.25">
      <c r="A466" s="5" t="s">
        <v>47</v>
      </c>
      <c r="B466" s="6">
        <v>1365</v>
      </c>
      <c r="C466" s="7" t="str" cm="1">
        <f t="array" ref="C466">_xlfn.IFS(B466 &lt;= 567, "Cheap", B466 &lt;= 1033, "Medium", TRUE, "Higher")</f>
        <v>Higher</v>
      </c>
    </row>
    <row r="467" spans="1:3" x14ac:dyDescent="0.25">
      <c r="A467" s="5" t="s">
        <v>47</v>
      </c>
      <c r="B467" s="6">
        <v>1375</v>
      </c>
      <c r="C467" s="7" t="str" cm="1">
        <f t="array" ref="C467">_xlfn.IFS(B467 &lt;= 567, "Cheap", B467 &lt;= 1033, "Medium", TRUE, "Higher")</f>
        <v>Higher</v>
      </c>
    </row>
    <row r="468" spans="1:3" x14ac:dyDescent="0.25">
      <c r="A468" s="5" t="s">
        <v>47</v>
      </c>
      <c r="B468" s="6">
        <v>1386</v>
      </c>
      <c r="C468" s="7" t="str" cm="1">
        <f t="array" ref="C468">_xlfn.IFS(B468 &lt;= 567, "Cheap", B468 &lt;= 1033, "Medium", TRUE, "Higher")</f>
        <v>Higher</v>
      </c>
    </row>
    <row r="469" spans="1:3" x14ac:dyDescent="0.25">
      <c r="A469" s="5" t="s">
        <v>47</v>
      </c>
      <c r="B469" s="6">
        <v>1398</v>
      </c>
      <c r="C469" s="7" t="str" cm="1">
        <f t="array" ref="C469">_xlfn.IFS(B469 &lt;= 567, "Cheap", B469 &lt;= 1033, "Medium", TRUE, "Higher")</f>
        <v>Higher</v>
      </c>
    </row>
    <row r="470" spans="1:3" x14ac:dyDescent="0.25">
      <c r="A470" s="5" t="s">
        <v>47</v>
      </c>
      <c r="B470" s="6">
        <v>1405</v>
      </c>
      <c r="C470" s="7" t="str" cm="1">
        <f t="array" ref="C470">_xlfn.IFS(B470 &lt;= 567, "Cheap", B470 &lt;= 1033, "Medium", TRUE, "Higher")</f>
        <v>Higher</v>
      </c>
    </row>
    <row r="471" spans="1:3" x14ac:dyDescent="0.25">
      <c r="A471" s="5" t="s">
        <v>47</v>
      </c>
      <c r="B471" s="6">
        <v>1409</v>
      </c>
      <c r="C471" s="7" t="str" cm="1">
        <f t="array" ref="C471">_xlfn.IFS(B471 &lt;= 567, "Cheap", B471 &lt;= 1033, "Medium", TRUE, "Higher")</f>
        <v>Higher</v>
      </c>
    </row>
    <row r="472" spans="1:3" x14ac:dyDescent="0.25">
      <c r="A472" s="5" t="s">
        <v>47</v>
      </c>
      <c r="B472" s="6">
        <v>1413</v>
      </c>
      <c r="C472" s="7" t="str" cm="1">
        <f t="array" ref="C472">_xlfn.IFS(B472 &lt;= 567, "Cheap", B472 &lt;= 1033, "Medium", TRUE, "Higher")</f>
        <v>Higher</v>
      </c>
    </row>
    <row r="473" spans="1:3" x14ac:dyDescent="0.25">
      <c r="A473" s="5" t="s">
        <v>47</v>
      </c>
      <c r="B473" s="6">
        <v>1414</v>
      </c>
      <c r="C473" s="7" t="str" cm="1">
        <f t="array" ref="C473">_xlfn.IFS(B473 &lt;= 567, "Cheap", B473 &lt;= 1033, "Medium", TRUE, "Higher")</f>
        <v>Higher</v>
      </c>
    </row>
    <row r="474" spans="1:3" x14ac:dyDescent="0.25">
      <c r="A474" s="5" t="s">
        <v>47</v>
      </c>
      <c r="B474" s="6">
        <v>1425</v>
      </c>
      <c r="C474" s="7" t="str" cm="1">
        <f t="array" ref="C474">_xlfn.IFS(B474 &lt;= 567, "Cheap", B474 &lt;= 1033, "Medium", TRUE, "Higher")</f>
        <v>Higher</v>
      </c>
    </row>
    <row r="475" spans="1:3" x14ac:dyDescent="0.25">
      <c r="A475" s="5" t="s">
        <v>47</v>
      </c>
      <c r="B475" s="6">
        <v>1446</v>
      </c>
      <c r="C475" s="7" t="str" cm="1">
        <f t="array" ref="C475">_xlfn.IFS(B475 &lt;= 567, "Cheap", B475 &lt;= 1033, "Medium", TRUE, "Higher")</f>
        <v>Higher</v>
      </c>
    </row>
    <row r="476" spans="1:3" x14ac:dyDescent="0.25">
      <c r="A476" s="5" t="s">
        <v>47</v>
      </c>
      <c r="B476" s="6">
        <v>1450</v>
      </c>
      <c r="C476" s="7" t="str" cm="1">
        <f t="array" ref="C476">_xlfn.IFS(B476 &lt;= 567, "Cheap", B476 &lt;= 1033, "Medium", TRUE, "Higher")</f>
        <v>Higher</v>
      </c>
    </row>
    <row r="477" spans="1:3" x14ac:dyDescent="0.25">
      <c r="A477" s="5" t="s">
        <v>47</v>
      </c>
      <c r="B477" s="6">
        <v>1450</v>
      </c>
      <c r="C477" s="7" t="str" cm="1">
        <f t="array" ref="C477">_xlfn.IFS(B477 &lt;= 567, "Cheap", B477 &lt;= 1033, "Medium", TRUE, "Higher")</f>
        <v>Higher</v>
      </c>
    </row>
    <row r="478" spans="1:3" x14ac:dyDescent="0.25">
      <c r="A478" s="5" t="s">
        <v>47</v>
      </c>
      <c r="B478" s="6">
        <v>1461</v>
      </c>
      <c r="C478" s="7" t="str" cm="1">
        <f t="array" ref="C478">_xlfn.IFS(B478 &lt;= 567, "Cheap", B478 &lt;= 1033, "Medium", TRUE, "Higher")</f>
        <v>Higher</v>
      </c>
    </row>
    <row r="479" spans="1:3" x14ac:dyDescent="0.25">
      <c r="A479" s="5" t="s">
        <v>47</v>
      </c>
      <c r="B479" s="6">
        <v>1462</v>
      </c>
      <c r="C479" s="7" t="str" cm="1">
        <f t="array" ref="C479">_xlfn.IFS(B479 &lt;= 567, "Cheap", B479 &lt;= 1033, "Medium", TRUE, "Higher")</f>
        <v>Higher</v>
      </c>
    </row>
    <row r="480" spans="1:3" x14ac:dyDescent="0.25">
      <c r="A480" s="5" t="s">
        <v>47</v>
      </c>
      <c r="B480" s="6">
        <v>1471</v>
      </c>
      <c r="C480" s="7" t="str" cm="1">
        <f t="array" ref="C480">_xlfn.IFS(B480 &lt;= 567, "Cheap", B480 &lt;= 1033, "Medium", TRUE, "Higher")</f>
        <v>Higher</v>
      </c>
    </row>
    <row r="481" spans="1:3" x14ac:dyDescent="0.25">
      <c r="A481" s="5" t="s">
        <v>47</v>
      </c>
      <c r="B481" s="6">
        <v>1483</v>
      </c>
      <c r="C481" s="7" t="str" cm="1">
        <f t="array" ref="C481">_xlfn.IFS(B481 &lt;= 567, "Cheap", B481 &lt;= 1033, "Medium", TRUE, "Higher")</f>
        <v>Higher</v>
      </c>
    </row>
    <row r="482" spans="1:3" x14ac:dyDescent="0.25">
      <c r="A482" s="5" t="s">
        <v>47</v>
      </c>
      <c r="B482" s="6">
        <v>1497</v>
      </c>
      <c r="C482" s="7" t="str" cm="1">
        <f t="array" ref="C482">_xlfn.IFS(B482 &lt;= 567, "Cheap", B482 &lt;= 1033, "Medium", TRUE, "Higher")</f>
        <v>Higher</v>
      </c>
    </row>
    <row r="483" spans="1:3" x14ac:dyDescent="0.25">
      <c r="A483" s="5" t="s">
        <v>16</v>
      </c>
      <c r="B483" s="6">
        <v>1040</v>
      </c>
      <c r="C483" s="7" t="str" cm="1">
        <f t="array" ref="C483">_xlfn.IFS(B483 &lt;= 567, "Cheap", B483 &lt;= 1033, "Medium", TRUE, "Higher")</f>
        <v>Higher</v>
      </c>
    </row>
    <row r="484" spans="1:3" x14ac:dyDescent="0.25">
      <c r="A484" s="5" t="s">
        <v>16</v>
      </c>
      <c r="B484" s="6">
        <v>1050</v>
      </c>
      <c r="C484" s="7" t="str" cm="1">
        <f t="array" ref="C484">_xlfn.IFS(B484 &lt;= 567, "Cheap", B484 &lt;= 1033, "Medium", TRUE, "Higher")</f>
        <v>Higher</v>
      </c>
    </row>
    <row r="485" spans="1:3" x14ac:dyDescent="0.25">
      <c r="A485" s="5" t="s">
        <v>16</v>
      </c>
      <c r="B485" s="6">
        <v>1059</v>
      </c>
      <c r="C485" s="7" t="str" cm="1">
        <f t="array" ref="C485">_xlfn.IFS(B485 &lt;= 567, "Cheap", B485 &lt;= 1033, "Medium", TRUE, "Higher")</f>
        <v>Higher</v>
      </c>
    </row>
    <row r="486" spans="1:3" x14ac:dyDescent="0.25">
      <c r="A486" s="5" t="s">
        <v>16</v>
      </c>
      <c r="B486" s="6">
        <v>1060</v>
      </c>
      <c r="C486" s="7" t="str" cm="1">
        <f t="array" ref="C486">_xlfn.IFS(B486 &lt;= 567, "Cheap", B486 &lt;= 1033, "Medium", TRUE, "Higher")</f>
        <v>Higher</v>
      </c>
    </row>
    <row r="487" spans="1:3" x14ac:dyDescent="0.25">
      <c r="A487" s="5" t="s">
        <v>16</v>
      </c>
      <c r="B487" s="6">
        <v>1064</v>
      </c>
      <c r="C487" s="7" t="str" cm="1">
        <f t="array" ref="C487">_xlfn.IFS(B487 &lt;= 567, "Cheap", B487 &lt;= 1033, "Medium", TRUE, "Higher")</f>
        <v>Higher</v>
      </c>
    </row>
    <row r="488" spans="1:3" x14ac:dyDescent="0.25">
      <c r="A488" s="5" t="s">
        <v>16</v>
      </c>
      <c r="B488" s="6">
        <v>1075</v>
      </c>
      <c r="C488" s="7" t="str" cm="1">
        <f t="array" ref="C488">_xlfn.IFS(B488 &lt;= 567, "Cheap", B488 &lt;= 1033, "Medium", TRUE, "Higher")</f>
        <v>Higher</v>
      </c>
    </row>
    <row r="489" spans="1:3" x14ac:dyDescent="0.25">
      <c r="A489" s="5" t="s">
        <v>16</v>
      </c>
      <c r="B489" s="6">
        <v>1075</v>
      </c>
      <c r="C489" s="7" t="str" cm="1">
        <f t="array" ref="C489">_xlfn.IFS(B489 &lt;= 567, "Cheap", B489 &lt;= 1033, "Medium", TRUE, "Higher")</f>
        <v>Higher</v>
      </c>
    </row>
    <row r="490" spans="1:3" x14ac:dyDescent="0.25">
      <c r="A490" s="5" t="s">
        <v>16</v>
      </c>
      <c r="B490" s="6">
        <v>1083</v>
      </c>
      <c r="C490" s="7" t="str" cm="1">
        <f t="array" ref="C490">_xlfn.IFS(B490 &lt;= 567, "Cheap", B490 &lt;= 1033, "Medium", TRUE, "Higher")</f>
        <v>Higher</v>
      </c>
    </row>
    <row r="491" spans="1:3" x14ac:dyDescent="0.25">
      <c r="A491" s="5" t="s">
        <v>16</v>
      </c>
      <c r="B491" s="6">
        <v>1085</v>
      </c>
      <c r="C491" s="7" t="str" cm="1">
        <f t="array" ref="C491">_xlfn.IFS(B491 &lt;= 567, "Cheap", B491 &lt;= 1033, "Medium", TRUE, "Higher")</f>
        <v>Higher</v>
      </c>
    </row>
    <row r="492" spans="1:3" x14ac:dyDescent="0.25">
      <c r="A492" s="5" t="s">
        <v>16</v>
      </c>
      <c r="B492" s="6">
        <v>1107</v>
      </c>
      <c r="C492" s="7" t="str" cm="1">
        <f t="array" ref="C492">_xlfn.IFS(B492 &lt;= 567, "Cheap", B492 &lt;= 1033, "Medium", TRUE, "Higher")</f>
        <v>Higher</v>
      </c>
    </row>
    <row r="493" spans="1:3" x14ac:dyDescent="0.25">
      <c r="A493" s="5" t="s">
        <v>16</v>
      </c>
      <c r="B493" s="6">
        <v>1124</v>
      </c>
      <c r="C493" s="7" t="str" cm="1">
        <f t="array" ref="C493">_xlfn.IFS(B493 &lt;= 567, "Cheap", B493 &lt;= 1033, "Medium", TRUE, "Higher")</f>
        <v>Higher</v>
      </c>
    </row>
    <row r="494" spans="1:3" x14ac:dyDescent="0.25">
      <c r="A494" s="5" t="s">
        <v>16</v>
      </c>
      <c r="B494" s="6">
        <v>1131</v>
      </c>
      <c r="C494" s="7" t="str" cm="1">
        <f t="array" ref="C494">_xlfn.IFS(B494 &lt;= 567, "Cheap", B494 &lt;= 1033, "Medium", TRUE, "Higher")</f>
        <v>Higher</v>
      </c>
    </row>
    <row r="495" spans="1:3" x14ac:dyDescent="0.25">
      <c r="A495" s="5" t="s">
        <v>16</v>
      </c>
      <c r="B495" s="6">
        <v>1141</v>
      </c>
      <c r="C495" s="7" t="str" cm="1">
        <f t="array" ref="C495">_xlfn.IFS(B495 &lt;= 567, "Cheap", B495 &lt;= 1033, "Medium", TRUE, "Higher")</f>
        <v>Higher</v>
      </c>
    </row>
    <row r="496" spans="1:3" x14ac:dyDescent="0.25">
      <c r="A496" s="5" t="s">
        <v>16</v>
      </c>
      <c r="B496" s="6">
        <v>1143</v>
      </c>
      <c r="C496" s="7" t="str" cm="1">
        <f t="array" ref="C496">_xlfn.IFS(B496 &lt;= 567, "Cheap", B496 &lt;= 1033, "Medium", TRUE, "Higher")</f>
        <v>Higher</v>
      </c>
    </row>
    <row r="497" spans="1:3" x14ac:dyDescent="0.25">
      <c r="A497" s="5" t="s">
        <v>16</v>
      </c>
      <c r="B497" s="6">
        <v>1185</v>
      </c>
      <c r="C497" s="7" t="str" cm="1">
        <f t="array" ref="C497">_xlfn.IFS(B497 &lt;= 567, "Cheap", B497 &lt;= 1033, "Medium", TRUE, "Higher")</f>
        <v>Higher</v>
      </c>
    </row>
    <row r="498" spans="1:3" x14ac:dyDescent="0.25">
      <c r="A498" s="5" t="s">
        <v>16</v>
      </c>
      <c r="B498" s="6">
        <v>1190</v>
      </c>
      <c r="C498" s="7" t="str" cm="1">
        <f t="array" ref="C498">_xlfn.IFS(B498 &lt;= 567, "Cheap", B498 &lt;= 1033, "Medium", TRUE, "Higher")</f>
        <v>Higher</v>
      </c>
    </row>
    <row r="499" spans="1:3" x14ac:dyDescent="0.25">
      <c r="A499" s="5" t="s">
        <v>16</v>
      </c>
      <c r="B499" s="6">
        <v>1209</v>
      </c>
      <c r="C499" s="7" t="str" cm="1">
        <f t="array" ref="C499">_xlfn.IFS(B499 &lt;= 567, "Cheap", B499 &lt;= 1033, "Medium", TRUE, "Higher")</f>
        <v>Higher</v>
      </c>
    </row>
    <row r="500" spans="1:3" x14ac:dyDescent="0.25">
      <c r="A500" s="5" t="s">
        <v>16</v>
      </c>
      <c r="B500" s="6">
        <v>1225</v>
      </c>
      <c r="C500" s="7" t="str" cm="1">
        <f t="array" ref="C500">_xlfn.IFS(B500 &lt;= 567, "Cheap", B500 &lt;= 1033, "Medium", TRUE, "Higher")</f>
        <v>Higher</v>
      </c>
    </row>
    <row r="501" spans="1:3" x14ac:dyDescent="0.25">
      <c r="A501" s="5" t="s">
        <v>16</v>
      </c>
      <c r="B501" s="6">
        <v>1249</v>
      </c>
      <c r="C501" s="7" t="str" cm="1">
        <f t="array" ref="C501">_xlfn.IFS(B501 &lt;= 567, "Cheap", B501 &lt;= 1033, "Medium", TRUE, "Higher")</f>
        <v>Higher</v>
      </c>
    </row>
    <row r="502" spans="1:3" x14ac:dyDescent="0.25">
      <c r="A502" s="5" t="s">
        <v>16</v>
      </c>
      <c r="B502" s="6">
        <v>1250</v>
      </c>
      <c r="C502" s="7" t="str" cm="1">
        <f t="array" ref="C502">_xlfn.IFS(B502 &lt;= 567, "Cheap", B502 &lt;= 1033, "Medium", TRUE, "Higher")</f>
        <v>Higher</v>
      </c>
    </row>
    <row r="503" spans="1:3" x14ac:dyDescent="0.25">
      <c r="A503" s="5" t="s">
        <v>16</v>
      </c>
      <c r="B503" s="6">
        <v>1261</v>
      </c>
      <c r="C503" s="7" t="str" cm="1">
        <f t="array" ref="C503">_xlfn.IFS(B503 &lt;= 567, "Cheap", B503 &lt;= 1033, "Medium", TRUE, "Higher")</f>
        <v>Higher</v>
      </c>
    </row>
    <row r="504" spans="1:3" x14ac:dyDescent="0.25">
      <c r="A504" s="5" t="s">
        <v>16</v>
      </c>
      <c r="B504" s="6">
        <v>1282</v>
      </c>
      <c r="C504" s="7" t="str" cm="1">
        <f t="array" ref="C504">_xlfn.IFS(B504 &lt;= 567, "Cheap", B504 &lt;= 1033, "Medium", TRUE, "Higher")</f>
        <v>Higher</v>
      </c>
    </row>
    <row r="505" spans="1:3" x14ac:dyDescent="0.25">
      <c r="A505" s="5" t="s">
        <v>16</v>
      </c>
      <c r="B505" s="6">
        <v>1285</v>
      </c>
      <c r="C505" s="7" t="str" cm="1">
        <f t="array" ref="C505">_xlfn.IFS(B505 &lt;= 567, "Cheap", B505 &lt;= 1033, "Medium", TRUE, "Higher")</f>
        <v>Higher</v>
      </c>
    </row>
    <row r="506" spans="1:3" x14ac:dyDescent="0.25">
      <c r="A506" s="5" t="s">
        <v>16</v>
      </c>
      <c r="B506" s="6">
        <v>1286</v>
      </c>
      <c r="C506" s="7" t="str" cm="1">
        <f t="array" ref="C506">_xlfn.IFS(B506 &lt;= 567, "Cheap", B506 &lt;= 1033, "Medium", TRUE, "Higher")</f>
        <v>Higher</v>
      </c>
    </row>
    <row r="507" spans="1:3" x14ac:dyDescent="0.25">
      <c r="A507" s="5" t="s">
        <v>16</v>
      </c>
      <c r="B507" s="6">
        <v>1300</v>
      </c>
      <c r="C507" s="7" t="str" cm="1">
        <f t="array" ref="C507">_xlfn.IFS(B507 &lt;= 567, "Cheap", B507 &lt;= 1033, "Medium", TRUE, "Higher")</f>
        <v>Higher</v>
      </c>
    </row>
    <row r="508" spans="1:3" x14ac:dyDescent="0.25">
      <c r="A508" s="5" t="s">
        <v>16</v>
      </c>
      <c r="B508" s="6">
        <v>1301</v>
      </c>
      <c r="C508" s="7" t="str" cm="1">
        <f t="array" ref="C508">_xlfn.IFS(B508 &lt;= 567, "Cheap", B508 &lt;= 1033, "Medium", TRUE, "Higher")</f>
        <v>Higher</v>
      </c>
    </row>
    <row r="509" spans="1:3" x14ac:dyDescent="0.25">
      <c r="A509" s="5" t="s">
        <v>16</v>
      </c>
      <c r="B509" s="6">
        <v>1322</v>
      </c>
      <c r="C509" s="7" t="str" cm="1">
        <f t="array" ref="C509">_xlfn.IFS(B509 &lt;= 567, "Cheap", B509 &lt;= 1033, "Medium", TRUE, "Higher")</f>
        <v>Higher</v>
      </c>
    </row>
    <row r="510" spans="1:3" x14ac:dyDescent="0.25">
      <c r="A510" s="5" t="s">
        <v>16</v>
      </c>
      <c r="B510" s="6">
        <v>1346</v>
      </c>
      <c r="C510" s="7" t="str" cm="1">
        <f t="array" ref="C510">_xlfn.IFS(B510 &lt;= 567, "Cheap", B510 &lt;= 1033, "Medium", TRUE, "Higher")</f>
        <v>Higher</v>
      </c>
    </row>
    <row r="511" spans="1:3" x14ac:dyDescent="0.25">
      <c r="A511" s="5" t="s">
        <v>16</v>
      </c>
      <c r="B511" s="6">
        <v>1348</v>
      </c>
      <c r="C511" s="7" t="str" cm="1">
        <f t="array" ref="C511">_xlfn.IFS(B511 &lt;= 567, "Cheap", B511 &lt;= 1033, "Medium", TRUE, "Higher")</f>
        <v>Higher</v>
      </c>
    </row>
    <row r="512" spans="1:3" x14ac:dyDescent="0.25">
      <c r="A512" s="5" t="s">
        <v>16</v>
      </c>
      <c r="B512" s="6">
        <v>1391</v>
      </c>
      <c r="C512" s="7" t="str" cm="1">
        <f t="array" ref="C512">_xlfn.IFS(B512 &lt;= 567, "Cheap", B512 &lt;= 1033, "Medium", TRUE, "Higher")</f>
        <v>Higher</v>
      </c>
    </row>
    <row r="513" spans="1:3" x14ac:dyDescent="0.25">
      <c r="A513" s="5" t="s">
        <v>16</v>
      </c>
      <c r="B513" s="6">
        <v>1399</v>
      </c>
      <c r="C513" s="7" t="str" cm="1">
        <f t="array" ref="C513">_xlfn.IFS(B513 &lt;= 567, "Cheap", B513 &lt;= 1033, "Medium", TRUE, "Higher")</f>
        <v>Higher</v>
      </c>
    </row>
    <row r="514" spans="1:3" x14ac:dyDescent="0.25">
      <c r="A514" s="5" t="s">
        <v>16</v>
      </c>
      <c r="B514" s="6">
        <v>1414</v>
      </c>
      <c r="C514" s="7" t="str" cm="1">
        <f t="array" ref="C514">_xlfn.IFS(B514 &lt;= 567, "Cheap", B514 &lt;= 1033, "Medium", TRUE, "Higher")</f>
        <v>Higher</v>
      </c>
    </row>
    <row r="515" spans="1:3" x14ac:dyDescent="0.25">
      <c r="A515" s="5" t="s">
        <v>16</v>
      </c>
      <c r="B515" s="6">
        <v>1426</v>
      </c>
      <c r="C515" s="7" t="str" cm="1">
        <f t="array" ref="C515">_xlfn.IFS(B515 &lt;= 567, "Cheap", B515 &lt;= 1033, "Medium", TRUE, "Higher")</f>
        <v>Higher</v>
      </c>
    </row>
    <row r="516" spans="1:3" x14ac:dyDescent="0.25">
      <c r="A516" s="5" t="s">
        <v>16</v>
      </c>
      <c r="B516" s="6">
        <v>1432</v>
      </c>
      <c r="C516" s="7" t="str" cm="1">
        <f t="array" ref="C516">_xlfn.IFS(B516 &lt;= 567, "Cheap", B516 &lt;= 1033, "Medium", TRUE, "Higher")</f>
        <v>Higher</v>
      </c>
    </row>
    <row r="517" spans="1:3" x14ac:dyDescent="0.25">
      <c r="A517" s="5" t="s">
        <v>16</v>
      </c>
      <c r="B517" s="6">
        <v>1441</v>
      </c>
      <c r="C517" s="7" t="str" cm="1">
        <f t="array" ref="C517">_xlfn.IFS(B517 &lt;= 567, "Cheap", B517 &lt;= 1033, "Medium", TRUE, "Higher")</f>
        <v>Higher</v>
      </c>
    </row>
    <row r="518" spans="1:3" x14ac:dyDescent="0.25">
      <c r="A518" s="5" t="s">
        <v>16</v>
      </c>
      <c r="B518" s="6">
        <v>1444</v>
      </c>
      <c r="C518" s="7" t="str" cm="1">
        <f t="array" ref="C518">_xlfn.IFS(B518 &lt;= 567, "Cheap", B518 &lt;= 1033, "Medium", TRUE, "Higher")</f>
        <v>Higher</v>
      </c>
    </row>
    <row r="519" spans="1:3" x14ac:dyDescent="0.25">
      <c r="A519" s="5" t="s">
        <v>16</v>
      </c>
      <c r="B519" s="6">
        <v>1451</v>
      </c>
      <c r="C519" s="7" t="str" cm="1">
        <f t="array" ref="C519">_xlfn.IFS(B519 &lt;= 567, "Cheap", B519 &lt;= 1033, "Medium", TRUE, "Higher")</f>
        <v>Higher</v>
      </c>
    </row>
    <row r="520" spans="1:3" x14ac:dyDescent="0.25">
      <c r="A520" s="5" t="s">
        <v>16</v>
      </c>
      <c r="B520" s="6">
        <v>1462</v>
      </c>
      <c r="C520" s="7" t="str" cm="1">
        <f t="array" ref="C520">_xlfn.IFS(B520 &lt;= 567, "Cheap", B520 &lt;= 1033, "Medium", TRUE, "Higher")</f>
        <v>Higher</v>
      </c>
    </row>
    <row r="521" spans="1:3" x14ac:dyDescent="0.25">
      <c r="A521" s="5" t="s">
        <v>16</v>
      </c>
      <c r="B521" s="6">
        <v>1478</v>
      </c>
      <c r="C521" s="7" t="str" cm="1">
        <f t="array" ref="C521">_xlfn.IFS(B521 &lt;= 567, "Cheap", B521 &lt;= 1033, "Medium", TRUE, "Higher")</f>
        <v>Higher</v>
      </c>
    </row>
    <row r="522" spans="1:3" x14ac:dyDescent="0.25">
      <c r="A522" s="5" t="s">
        <v>16</v>
      </c>
      <c r="B522" s="6">
        <v>1479</v>
      </c>
      <c r="C522" s="7" t="str" cm="1">
        <f t="array" ref="C522">_xlfn.IFS(B522 &lt;= 567, "Cheap", B522 &lt;= 1033, "Medium", TRUE, "Higher")</f>
        <v>Higher</v>
      </c>
    </row>
    <row r="523" spans="1:3" x14ac:dyDescent="0.25">
      <c r="A523" s="5" t="s">
        <v>16</v>
      </c>
      <c r="B523" s="6">
        <v>1480</v>
      </c>
      <c r="C523" s="7" t="str" cm="1">
        <f t="array" ref="C523">_xlfn.IFS(B523 &lt;= 567, "Cheap", B523 &lt;= 1033, "Medium", TRUE, "Higher")</f>
        <v>Higher</v>
      </c>
    </row>
    <row r="524" spans="1:3" x14ac:dyDescent="0.25">
      <c r="A524" s="5" t="s">
        <v>16</v>
      </c>
      <c r="B524" s="6">
        <v>1492</v>
      </c>
      <c r="C524" s="7" t="str" cm="1">
        <f t="array" ref="C524">_xlfn.IFS(B524 &lt;= 567, "Cheap", B524 &lt;= 1033, "Medium", TRUE, "Higher")</f>
        <v>Higher</v>
      </c>
    </row>
    <row r="525" spans="1:3" x14ac:dyDescent="0.25">
      <c r="A525" s="5" t="s">
        <v>16</v>
      </c>
      <c r="B525" s="6">
        <v>1498</v>
      </c>
      <c r="C525" s="7" t="str" cm="1">
        <f t="array" ref="C525">_xlfn.IFS(B525 &lt;= 567, "Cheap", B525 &lt;= 1033, "Medium", TRUE, "Higher")</f>
        <v>Higher</v>
      </c>
    </row>
    <row r="526" spans="1:3" x14ac:dyDescent="0.25">
      <c r="A526" s="5" t="s">
        <v>11</v>
      </c>
      <c r="B526" s="6">
        <v>1034</v>
      </c>
      <c r="C526" s="7" t="str" cm="1">
        <f t="array" ref="C526">_xlfn.IFS(B526 &lt;= 567, "Cheap", B526 &lt;= 1033, "Medium", TRUE, "Higher")</f>
        <v>Higher</v>
      </c>
    </row>
    <row r="527" spans="1:3" x14ac:dyDescent="0.25">
      <c r="A527" s="5" t="s">
        <v>11</v>
      </c>
      <c r="B527" s="6">
        <v>1042</v>
      </c>
      <c r="C527" s="7" t="str" cm="1">
        <f t="array" ref="C527">_xlfn.IFS(B527 &lt;= 567, "Cheap", B527 &lt;= 1033, "Medium", TRUE, "Higher")</f>
        <v>Higher</v>
      </c>
    </row>
    <row r="528" spans="1:3" x14ac:dyDescent="0.25">
      <c r="A528" s="5" t="s">
        <v>11</v>
      </c>
      <c r="B528" s="6">
        <v>1044</v>
      </c>
      <c r="C528" s="7" t="str" cm="1">
        <f t="array" ref="C528">_xlfn.IFS(B528 &lt;= 567, "Cheap", B528 &lt;= 1033, "Medium", TRUE, "Higher")</f>
        <v>Higher</v>
      </c>
    </row>
    <row r="529" spans="1:3" x14ac:dyDescent="0.25">
      <c r="A529" s="5" t="s">
        <v>11</v>
      </c>
      <c r="B529" s="6">
        <v>1047</v>
      </c>
      <c r="C529" s="7" t="str" cm="1">
        <f t="array" ref="C529">_xlfn.IFS(B529 &lt;= 567, "Cheap", B529 &lt;= 1033, "Medium", TRUE, "Higher")</f>
        <v>Higher</v>
      </c>
    </row>
    <row r="530" spans="1:3" x14ac:dyDescent="0.25">
      <c r="A530" s="5" t="s">
        <v>11</v>
      </c>
      <c r="B530" s="6">
        <v>1072</v>
      </c>
      <c r="C530" s="7" t="str" cm="1">
        <f t="array" ref="C530">_xlfn.IFS(B530 &lt;= 567, "Cheap", B530 &lt;= 1033, "Medium", TRUE, "Higher")</f>
        <v>Higher</v>
      </c>
    </row>
    <row r="531" spans="1:3" x14ac:dyDescent="0.25">
      <c r="A531" s="5" t="s">
        <v>11</v>
      </c>
      <c r="B531" s="6">
        <v>1078</v>
      </c>
      <c r="C531" s="7" t="str" cm="1">
        <f t="array" ref="C531">_xlfn.IFS(B531 &lt;= 567, "Cheap", B531 &lt;= 1033, "Medium", TRUE, "Higher")</f>
        <v>Higher</v>
      </c>
    </row>
    <row r="532" spans="1:3" x14ac:dyDescent="0.25">
      <c r="A532" s="5" t="s">
        <v>11</v>
      </c>
      <c r="B532" s="6">
        <v>1080</v>
      </c>
      <c r="C532" s="7" t="str" cm="1">
        <f t="array" ref="C532">_xlfn.IFS(B532 &lt;= 567, "Cheap", B532 &lt;= 1033, "Medium", TRUE, "Higher")</f>
        <v>Higher</v>
      </c>
    </row>
    <row r="533" spans="1:3" x14ac:dyDescent="0.25">
      <c r="A533" s="5" t="s">
        <v>11</v>
      </c>
      <c r="B533" s="6">
        <v>1106</v>
      </c>
      <c r="C533" s="7" t="str" cm="1">
        <f t="array" ref="C533">_xlfn.IFS(B533 &lt;= 567, "Cheap", B533 &lt;= 1033, "Medium", TRUE, "Higher")</f>
        <v>Higher</v>
      </c>
    </row>
    <row r="534" spans="1:3" x14ac:dyDescent="0.25">
      <c r="A534" s="5" t="s">
        <v>11</v>
      </c>
      <c r="B534" s="6">
        <v>1111</v>
      </c>
      <c r="C534" s="7" t="str" cm="1">
        <f t="array" ref="C534">_xlfn.IFS(B534 &lt;= 567, "Cheap", B534 &lt;= 1033, "Medium", TRUE, "Higher")</f>
        <v>Higher</v>
      </c>
    </row>
    <row r="535" spans="1:3" x14ac:dyDescent="0.25">
      <c r="A535" s="5" t="s">
        <v>11</v>
      </c>
      <c r="B535" s="6">
        <v>1111</v>
      </c>
      <c r="C535" s="7" t="str" cm="1">
        <f t="array" ref="C535">_xlfn.IFS(B535 &lt;= 567, "Cheap", B535 &lt;= 1033, "Medium", TRUE, "Higher")</f>
        <v>Higher</v>
      </c>
    </row>
    <row r="536" spans="1:3" x14ac:dyDescent="0.25">
      <c r="A536" s="5" t="s">
        <v>11</v>
      </c>
      <c r="B536" s="6">
        <v>1122</v>
      </c>
      <c r="C536" s="7" t="str" cm="1">
        <f t="array" ref="C536">_xlfn.IFS(B536 &lt;= 567, "Cheap", B536 &lt;= 1033, "Medium", TRUE, "Higher")</f>
        <v>Higher</v>
      </c>
    </row>
    <row r="537" spans="1:3" x14ac:dyDescent="0.25">
      <c r="A537" s="5" t="s">
        <v>11</v>
      </c>
      <c r="B537" s="6">
        <v>1147</v>
      </c>
      <c r="C537" s="7" t="str" cm="1">
        <f t="array" ref="C537">_xlfn.IFS(B537 &lt;= 567, "Cheap", B537 &lt;= 1033, "Medium", TRUE, "Higher")</f>
        <v>Higher</v>
      </c>
    </row>
    <row r="538" spans="1:3" x14ac:dyDescent="0.25">
      <c r="A538" s="5" t="s">
        <v>11</v>
      </c>
      <c r="B538" s="6">
        <v>1150</v>
      </c>
      <c r="C538" s="7" t="str" cm="1">
        <f t="array" ref="C538">_xlfn.IFS(B538 &lt;= 567, "Cheap", B538 &lt;= 1033, "Medium", TRUE, "Higher")</f>
        <v>Higher</v>
      </c>
    </row>
    <row r="539" spans="1:3" x14ac:dyDescent="0.25">
      <c r="A539" s="5" t="s">
        <v>11</v>
      </c>
      <c r="B539" s="6">
        <v>1154</v>
      </c>
      <c r="C539" s="7" t="str" cm="1">
        <f t="array" ref="C539">_xlfn.IFS(B539 &lt;= 567, "Cheap", B539 &lt;= 1033, "Medium", TRUE, "Higher")</f>
        <v>Higher</v>
      </c>
    </row>
    <row r="540" spans="1:3" x14ac:dyDescent="0.25">
      <c r="A540" s="5" t="s">
        <v>11</v>
      </c>
      <c r="B540" s="6">
        <v>1154</v>
      </c>
      <c r="C540" s="7" t="str" cm="1">
        <f t="array" ref="C540">_xlfn.IFS(B540 &lt;= 567, "Cheap", B540 &lt;= 1033, "Medium", TRUE, "Higher")</f>
        <v>Higher</v>
      </c>
    </row>
    <row r="541" spans="1:3" x14ac:dyDescent="0.25">
      <c r="A541" s="5" t="s">
        <v>11</v>
      </c>
      <c r="B541" s="6">
        <v>1181</v>
      </c>
      <c r="C541" s="7" t="str" cm="1">
        <f t="array" ref="C541">_xlfn.IFS(B541 &lt;= 567, "Cheap", B541 &lt;= 1033, "Medium", TRUE, "Higher")</f>
        <v>Higher</v>
      </c>
    </row>
    <row r="542" spans="1:3" x14ac:dyDescent="0.25">
      <c r="A542" s="5" t="s">
        <v>11</v>
      </c>
      <c r="B542" s="6">
        <v>1192</v>
      </c>
      <c r="C542" s="7" t="str" cm="1">
        <f t="array" ref="C542">_xlfn.IFS(B542 &lt;= 567, "Cheap", B542 &lt;= 1033, "Medium", TRUE, "Higher")</f>
        <v>Higher</v>
      </c>
    </row>
    <row r="543" spans="1:3" x14ac:dyDescent="0.25">
      <c r="A543" s="5" t="s">
        <v>11</v>
      </c>
      <c r="B543" s="6">
        <v>1211</v>
      </c>
      <c r="C543" s="7" t="str" cm="1">
        <f t="array" ref="C543">_xlfn.IFS(B543 &lt;= 567, "Cheap", B543 &lt;= 1033, "Medium", TRUE, "Higher")</f>
        <v>Higher</v>
      </c>
    </row>
    <row r="544" spans="1:3" x14ac:dyDescent="0.25">
      <c r="A544" s="5" t="s">
        <v>11</v>
      </c>
      <c r="B544" s="6">
        <v>1229</v>
      </c>
      <c r="C544" s="7" t="str" cm="1">
        <f t="array" ref="C544">_xlfn.IFS(B544 &lt;= 567, "Cheap", B544 &lt;= 1033, "Medium", TRUE, "Higher")</f>
        <v>Higher</v>
      </c>
    </row>
    <row r="545" spans="1:3" x14ac:dyDescent="0.25">
      <c r="A545" s="5" t="s">
        <v>11</v>
      </c>
      <c r="B545" s="6">
        <v>1249</v>
      </c>
      <c r="C545" s="7" t="str" cm="1">
        <f t="array" ref="C545">_xlfn.IFS(B545 &lt;= 567, "Cheap", B545 &lt;= 1033, "Medium", TRUE, "Higher")</f>
        <v>Higher</v>
      </c>
    </row>
    <row r="546" spans="1:3" x14ac:dyDescent="0.25">
      <c r="A546" s="5" t="s">
        <v>11</v>
      </c>
      <c r="B546" s="6">
        <v>1251</v>
      </c>
      <c r="C546" s="7" t="str" cm="1">
        <f t="array" ref="C546">_xlfn.IFS(B546 &lt;= 567, "Cheap", B546 &lt;= 1033, "Medium", TRUE, "Higher")</f>
        <v>Higher</v>
      </c>
    </row>
    <row r="547" spans="1:3" x14ac:dyDescent="0.25">
      <c r="A547" s="5" t="s">
        <v>11</v>
      </c>
      <c r="B547" s="6">
        <v>1271</v>
      </c>
      <c r="C547" s="7" t="str" cm="1">
        <f t="array" ref="C547">_xlfn.IFS(B547 &lt;= 567, "Cheap", B547 &lt;= 1033, "Medium", TRUE, "Higher")</f>
        <v>Higher</v>
      </c>
    </row>
    <row r="548" spans="1:3" x14ac:dyDescent="0.25">
      <c r="A548" s="5" t="s">
        <v>11</v>
      </c>
      <c r="B548" s="6">
        <v>1274</v>
      </c>
      <c r="C548" s="7" t="str" cm="1">
        <f t="array" ref="C548">_xlfn.IFS(B548 &lt;= 567, "Cheap", B548 &lt;= 1033, "Medium", TRUE, "Higher")</f>
        <v>Higher</v>
      </c>
    </row>
    <row r="549" spans="1:3" x14ac:dyDescent="0.25">
      <c r="A549" s="5" t="s">
        <v>11</v>
      </c>
      <c r="B549" s="6">
        <v>1296</v>
      </c>
      <c r="C549" s="7" t="str" cm="1">
        <f t="array" ref="C549">_xlfn.IFS(B549 &lt;= 567, "Cheap", B549 &lt;= 1033, "Medium", TRUE, "Higher")</f>
        <v>Higher</v>
      </c>
    </row>
    <row r="550" spans="1:3" x14ac:dyDescent="0.25">
      <c r="A550" s="5" t="s">
        <v>11</v>
      </c>
      <c r="B550" s="6">
        <v>1317</v>
      </c>
      <c r="C550" s="7" t="str" cm="1">
        <f t="array" ref="C550">_xlfn.IFS(B550 &lt;= 567, "Cheap", B550 &lt;= 1033, "Medium", TRUE, "Higher")</f>
        <v>Higher</v>
      </c>
    </row>
    <row r="551" spans="1:3" x14ac:dyDescent="0.25">
      <c r="A551" s="5" t="s">
        <v>11</v>
      </c>
      <c r="B551" s="6">
        <v>1320</v>
      </c>
      <c r="C551" s="7" t="str" cm="1">
        <f t="array" ref="C551">_xlfn.IFS(B551 &lt;= 567, "Cheap", B551 &lt;= 1033, "Medium", TRUE, "Higher")</f>
        <v>Higher</v>
      </c>
    </row>
    <row r="552" spans="1:3" x14ac:dyDescent="0.25">
      <c r="A552" s="5" t="s">
        <v>11</v>
      </c>
      <c r="B552" s="6">
        <v>1332</v>
      </c>
      <c r="C552" s="7" t="str" cm="1">
        <f t="array" ref="C552">_xlfn.IFS(B552 &lt;= 567, "Cheap", B552 &lt;= 1033, "Medium", TRUE, "Higher")</f>
        <v>Higher</v>
      </c>
    </row>
    <row r="553" spans="1:3" x14ac:dyDescent="0.25">
      <c r="A553" s="5" t="s">
        <v>11</v>
      </c>
      <c r="B553" s="6">
        <v>1334</v>
      </c>
      <c r="C553" s="7" t="str" cm="1">
        <f t="array" ref="C553">_xlfn.IFS(B553 &lt;= 567, "Cheap", B553 &lt;= 1033, "Medium", TRUE, "Higher")</f>
        <v>Higher</v>
      </c>
    </row>
    <row r="554" spans="1:3" x14ac:dyDescent="0.25">
      <c r="A554" s="5" t="s">
        <v>11</v>
      </c>
      <c r="B554" s="6">
        <v>1351</v>
      </c>
      <c r="C554" s="7" t="str" cm="1">
        <f t="array" ref="C554">_xlfn.IFS(B554 &lt;= 567, "Cheap", B554 &lt;= 1033, "Medium", TRUE, "Higher")</f>
        <v>Higher</v>
      </c>
    </row>
    <row r="555" spans="1:3" x14ac:dyDescent="0.25">
      <c r="A555" s="5" t="s">
        <v>11</v>
      </c>
      <c r="B555" s="6">
        <v>1379</v>
      </c>
      <c r="C555" s="7" t="str" cm="1">
        <f t="array" ref="C555">_xlfn.IFS(B555 &lt;= 567, "Cheap", B555 &lt;= 1033, "Medium", TRUE, "Higher")</f>
        <v>Higher</v>
      </c>
    </row>
    <row r="556" spans="1:3" x14ac:dyDescent="0.25">
      <c r="A556" s="5" t="s">
        <v>11</v>
      </c>
      <c r="B556" s="6">
        <v>1385</v>
      </c>
      <c r="C556" s="7" t="str" cm="1">
        <f t="array" ref="C556">_xlfn.IFS(B556 &lt;= 567, "Cheap", B556 &lt;= 1033, "Medium", TRUE, "Higher")</f>
        <v>Higher</v>
      </c>
    </row>
    <row r="557" spans="1:3" x14ac:dyDescent="0.25">
      <c r="A557" s="5" t="s">
        <v>11</v>
      </c>
      <c r="B557" s="6">
        <v>1386</v>
      </c>
      <c r="C557" s="7" t="str" cm="1">
        <f t="array" ref="C557">_xlfn.IFS(B557 &lt;= 567, "Cheap", B557 &lt;= 1033, "Medium", TRUE, "Higher")</f>
        <v>Higher</v>
      </c>
    </row>
    <row r="558" spans="1:3" x14ac:dyDescent="0.25">
      <c r="A558" s="5" t="s">
        <v>11</v>
      </c>
      <c r="B558" s="6">
        <v>1404</v>
      </c>
      <c r="C558" s="7" t="str" cm="1">
        <f t="array" ref="C558">_xlfn.IFS(B558 &lt;= 567, "Cheap", B558 &lt;= 1033, "Medium", TRUE, "Higher")</f>
        <v>Higher</v>
      </c>
    </row>
    <row r="559" spans="1:3" x14ac:dyDescent="0.25">
      <c r="A559" s="5" t="s">
        <v>11</v>
      </c>
      <c r="B559" s="6">
        <v>1420</v>
      </c>
      <c r="C559" s="7" t="str" cm="1">
        <f t="array" ref="C559">_xlfn.IFS(B559 &lt;= 567, "Cheap", B559 &lt;= 1033, "Medium", TRUE, "Higher")</f>
        <v>Higher</v>
      </c>
    </row>
    <row r="560" spans="1:3" x14ac:dyDescent="0.25">
      <c r="A560" s="5" t="s">
        <v>11</v>
      </c>
      <c r="B560" s="6">
        <v>1433</v>
      </c>
      <c r="C560" s="7" t="str" cm="1">
        <f t="array" ref="C560">_xlfn.IFS(B560 &lt;= 567, "Cheap", B560 &lt;= 1033, "Medium", TRUE, "Higher")</f>
        <v>Higher</v>
      </c>
    </row>
    <row r="561" spans="1:3" x14ac:dyDescent="0.25">
      <c r="A561" s="5" t="s">
        <v>91</v>
      </c>
      <c r="B561" s="6">
        <v>1034</v>
      </c>
      <c r="C561" s="7" t="str" cm="1">
        <f t="array" ref="C561">_xlfn.IFS(B561 &lt;= 567, "Cheap", B561 &lt;= 1033, "Medium", TRUE, "Higher")</f>
        <v>Higher</v>
      </c>
    </row>
    <row r="562" spans="1:3" x14ac:dyDescent="0.25">
      <c r="A562" s="5" t="s">
        <v>91</v>
      </c>
      <c r="B562" s="6">
        <v>1045</v>
      </c>
      <c r="C562" s="7" t="str" cm="1">
        <f t="array" ref="C562">_xlfn.IFS(B562 &lt;= 567, "Cheap", B562 &lt;= 1033, "Medium", TRUE, "Higher")</f>
        <v>Higher</v>
      </c>
    </row>
    <row r="563" spans="1:3" x14ac:dyDescent="0.25">
      <c r="A563" s="5" t="s">
        <v>91</v>
      </c>
      <c r="B563" s="6">
        <v>1049</v>
      </c>
      <c r="C563" s="7" t="str" cm="1">
        <f t="array" ref="C563">_xlfn.IFS(B563 &lt;= 567, "Cheap", B563 &lt;= 1033, "Medium", TRUE, "Higher")</f>
        <v>Higher</v>
      </c>
    </row>
    <row r="564" spans="1:3" x14ac:dyDescent="0.25">
      <c r="A564" s="5" t="s">
        <v>91</v>
      </c>
      <c r="B564" s="6">
        <v>1052</v>
      </c>
      <c r="C564" s="7" t="str" cm="1">
        <f t="array" ref="C564">_xlfn.IFS(B564 &lt;= 567, "Cheap", B564 &lt;= 1033, "Medium", TRUE, "Higher")</f>
        <v>Higher</v>
      </c>
    </row>
    <row r="565" spans="1:3" x14ac:dyDescent="0.25">
      <c r="A565" s="5" t="s">
        <v>91</v>
      </c>
      <c r="B565" s="6">
        <v>1084</v>
      </c>
      <c r="C565" s="7" t="str" cm="1">
        <f t="array" ref="C565">_xlfn.IFS(B565 &lt;= 567, "Cheap", B565 &lt;= 1033, "Medium", TRUE, "Higher")</f>
        <v>Higher</v>
      </c>
    </row>
    <row r="566" spans="1:3" x14ac:dyDescent="0.25">
      <c r="A566" s="5" t="s">
        <v>91</v>
      </c>
      <c r="B566" s="6">
        <v>1093</v>
      </c>
      <c r="C566" s="7" t="str" cm="1">
        <f t="array" ref="C566">_xlfn.IFS(B566 &lt;= 567, "Cheap", B566 &lt;= 1033, "Medium", TRUE, "Higher")</f>
        <v>Higher</v>
      </c>
    </row>
    <row r="567" spans="1:3" x14ac:dyDescent="0.25">
      <c r="A567" s="5" t="s">
        <v>91</v>
      </c>
      <c r="B567" s="6">
        <v>1095</v>
      </c>
      <c r="C567" s="7" t="str" cm="1">
        <f t="array" ref="C567">_xlfn.IFS(B567 &lt;= 567, "Cheap", B567 &lt;= 1033, "Medium", TRUE, "Higher")</f>
        <v>Higher</v>
      </c>
    </row>
    <row r="568" spans="1:3" x14ac:dyDescent="0.25">
      <c r="A568" s="5" t="s">
        <v>91</v>
      </c>
      <c r="B568" s="6">
        <v>1109</v>
      </c>
      <c r="C568" s="7" t="str" cm="1">
        <f t="array" ref="C568">_xlfn.IFS(B568 &lt;= 567, "Cheap", B568 &lt;= 1033, "Medium", TRUE, "Higher")</f>
        <v>Higher</v>
      </c>
    </row>
    <row r="569" spans="1:3" x14ac:dyDescent="0.25">
      <c r="A569" s="5" t="s">
        <v>91</v>
      </c>
      <c r="B569" s="6">
        <v>1137</v>
      </c>
      <c r="C569" s="7" t="str" cm="1">
        <f t="array" ref="C569">_xlfn.IFS(B569 &lt;= 567, "Cheap", B569 &lt;= 1033, "Medium", TRUE, "Higher")</f>
        <v>Higher</v>
      </c>
    </row>
    <row r="570" spans="1:3" x14ac:dyDescent="0.25">
      <c r="A570" s="5" t="s">
        <v>91</v>
      </c>
      <c r="B570" s="6">
        <v>1138</v>
      </c>
      <c r="C570" s="7" t="str" cm="1">
        <f t="array" ref="C570">_xlfn.IFS(B570 &lt;= 567, "Cheap", B570 &lt;= 1033, "Medium", TRUE, "Higher")</f>
        <v>Higher</v>
      </c>
    </row>
    <row r="571" spans="1:3" x14ac:dyDescent="0.25">
      <c r="A571" s="5" t="s">
        <v>91</v>
      </c>
      <c r="B571" s="6">
        <v>1160</v>
      </c>
      <c r="C571" s="7" t="str" cm="1">
        <f t="array" ref="C571">_xlfn.IFS(B571 &lt;= 567, "Cheap", B571 &lt;= 1033, "Medium", TRUE, "Higher")</f>
        <v>Higher</v>
      </c>
    </row>
    <row r="572" spans="1:3" x14ac:dyDescent="0.25">
      <c r="A572" s="5" t="s">
        <v>91</v>
      </c>
      <c r="B572" s="6">
        <v>1171</v>
      </c>
      <c r="C572" s="7" t="str" cm="1">
        <f t="array" ref="C572">_xlfn.IFS(B572 &lt;= 567, "Cheap", B572 &lt;= 1033, "Medium", TRUE, "Higher")</f>
        <v>Higher</v>
      </c>
    </row>
    <row r="573" spans="1:3" x14ac:dyDescent="0.25">
      <c r="A573" s="5" t="s">
        <v>91</v>
      </c>
      <c r="B573" s="6">
        <v>1189</v>
      </c>
      <c r="C573" s="7" t="str" cm="1">
        <f t="array" ref="C573">_xlfn.IFS(B573 &lt;= 567, "Cheap", B573 &lt;= 1033, "Medium", TRUE, "Higher")</f>
        <v>Higher</v>
      </c>
    </row>
    <row r="574" spans="1:3" x14ac:dyDescent="0.25">
      <c r="A574" s="5" t="s">
        <v>91</v>
      </c>
      <c r="B574" s="6">
        <v>1199</v>
      </c>
      <c r="C574" s="7" t="str" cm="1">
        <f t="array" ref="C574">_xlfn.IFS(B574 &lt;= 567, "Cheap", B574 &lt;= 1033, "Medium", TRUE, "Higher")</f>
        <v>Higher</v>
      </c>
    </row>
    <row r="575" spans="1:3" x14ac:dyDescent="0.25">
      <c r="A575" s="5" t="s">
        <v>91</v>
      </c>
      <c r="B575" s="6">
        <v>1209</v>
      </c>
      <c r="C575" s="7" t="str" cm="1">
        <f t="array" ref="C575">_xlfn.IFS(B575 &lt;= 567, "Cheap", B575 &lt;= 1033, "Medium", TRUE, "Higher")</f>
        <v>Higher</v>
      </c>
    </row>
    <row r="576" spans="1:3" x14ac:dyDescent="0.25">
      <c r="A576" s="5" t="s">
        <v>91</v>
      </c>
      <c r="B576" s="6">
        <v>1215</v>
      </c>
      <c r="C576" s="7" t="str" cm="1">
        <f t="array" ref="C576">_xlfn.IFS(B576 &lt;= 567, "Cheap", B576 &lt;= 1033, "Medium", TRUE, "Higher")</f>
        <v>Higher</v>
      </c>
    </row>
    <row r="577" spans="1:3" x14ac:dyDescent="0.25">
      <c r="A577" s="5" t="s">
        <v>91</v>
      </c>
      <c r="B577" s="6">
        <v>1221</v>
      </c>
      <c r="C577" s="7" t="str" cm="1">
        <f t="array" ref="C577">_xlfn.IFS(B577 &lt;= 567, "Cheap", B577 &lt;= 1033, "Medium", TRUE, "Higher")</f>
        <v>Higher</v>
      </c>
    </row>
    <row r="578" spans="1:3" x14ac:dyDescent="0.25">
      <c r="A578" s="5" t="s">
        <v>91</v>
      </c>
      <c r="B578" s="6">
        <v>1247</v>
      </c>
      <c r="C578" s="7" t="str" cm="1">
        <f t="array" ref="C578">_xlfn.IFS(B578 &lt;= 567, "Cheap", B578 &lt;= 1033, "Medium", TRUE, "Higher")</f>
        <v>Higher</v>
      </c>
    </row>
    <row r="579" spans="1:3" x14ac:dyDescent="0.25">
      <c r="A579" s="5" t="s">
        <v>91</v>
      </c>
      <c r="B579" s="6">
        <v>1249</v>
      </c>
      <c r="C579" s="7" t="str" cm="1">
        <f t="array" ref="C579">_xlfn.IFS(B579 &lt;= 567, "Cheap", B579 &lt;= 1033, "Medium", TRUE, "Higher")</f>
        <v>Higher</v>
      </c>
    </row>
    <row r="580" spans="1:3" x14ac:dyDescent="0.25">
      <c r="A580" s="5" t="s">
        <v>91</v>
      </c>
      <c r="B580" s="6">
        <v>1252</v>
      </c>
      <c r="C580" s="7" t="str" cm="1">
        <f t="array" ref="C580">_xlfn.IFS(B580 &lt;= 567, "Cheap", B580 &lt;= 1033, "Medium", TRUE, "Higher")</f>
        <v>Higher</v>
      </c>
    </row>
    <row r="581" spans="1:3" x14ac:dyDescent="0.25">
      <c r="A581" s="5" t="s">
        <v>91</v>
      </c>
      <c r="B581" s="6">
        <v>1288</v>
      </c>
      <c r="C581" s="7" t="str" cm="1">
        <f t="array" ref="C581">_xlfn.IFS(B581 &lt;= 567, "Cheap", B581 &lt;= 1033, "Medium", TRUE, "Higher")</f>
        <v>Higher</v>
      </c>
    </row>
    <row r="582" spans="1:3" x14ac:dyDescent="0.25">
      <c r="A582" s="5" t="s">
        <v>91</v>
      </c>
      <c r="B582" s="6">
        <v>1339</v>
      </c>
      <c r="C582" s="7" t="str" cm="1">
        <f t="array" ref="C582">_xlfn.IFS(B582 &lt;= 567, "Cheap", B582 &lt;= 1033, "Medium", TRUE, "Higher")</f>
        <v>Higher</v>
      </c>
    </row>
    <row r="583" spans="1:3" x14ac:dyDescent="0.25">
      <c r="A583" s="5" t="s">
        <v>91</v>
      </c>
      <c r="B583" s="6">
        <v>1343</v>
      </c>
      <c r="C583" s="7" t="str" cm="1">
        <f t="array" ref="C583">_xlfn.IFS(B583 &lt;= 567, "Cheap", B583 &lt;= 1033, "Medium", TRUE, "Higher")</f>
        <v>Higher</v>
      </c>
    </row>
    <row r="584" spans="1:3" x14ac:dyDescent="0.25">
      <c r="A584" s="5" t="s">
        <v>91</v>
      </c>
      <c r="B584" s="6">
        <v>1349</v>
      </c>
      <c r="C584" s="7" t="str" cm="1">
        <f t="array" ref="C584">_xlfn.IFS(B584 &lt;= 567, "Cheap", B584 &lt;= 1033, "Medium", TRUE, "Higher")</f>
        <v>Higher</v>
      </c>
    </row>
    <row r="585" spans="1:3" x14ac:dyDescent="0.25">
      <c r="A585" s="5" t="s">
        <v>91</v>
      </c>
      <c r="B585" s="6">
        <v>1360</v>
      </c>
      <c r="C585" s="7" t="str" cm="1">
        <f t="array" ref="C585">_xlfn.IFS(B585 &lt;= 567, "Cheap", B585 &lt;= 1033, "Medium", TRUE, "Higher")</f>
        <v>Higher</v>
      </c>
    </row>
    <row r="586" spans="1:3" x14ac:dyDescent="0.25">
      <c r="A586" s="5" t="s">
        <v>91</v>
      </c>
      <c r="B586" s="6">
        <v>1368</v>
      </c>
      <c r="C586" s="7" t="str" cm="1">
        <f t="array" ref="C586">_xlfn.IFS(B586 &lt;= 567, "Cheap", B586 &lt;= 1033, "Medium", TRUE, "Higher")</f>
        <v>Higher</v>
      </c>
    </row>
    <row r="587" spans="1:3" x14ac:dyDescent="0.25">
      <c r="A587" s="5" t="s">
        <v>91</v>
      </c>
      <c r="B587" s="6">
        <v>1381</v>
      </c>
      <c r="C587" s="7" t="str" cm="1">
        <f t="array" ref="C587">_xlfn.IFS(B587 &lt;= 567, "Cheap", B587 &lt;= 1033, "Medium", TRUE, "Higher")</f>
        <v>Higher</v>
      </c>
    </row>
    <row r="588" spans="1:3" x14ac:dyDescent="0.25">
      <c r="A588" s="5" t="s">
        <v>91</v>
      </c>
      <c r="B588" s="6">
        <v>1400</v>
      </c>
      <c r="C588" s="7" t="str" cm="1">
        <f t="array" ref="C588">_xlfn.IFS(B588 &lt;= 567, "Cheap", B588 &lt;= 1033, "Medium", TRUE, "Higher")</f>
        <v>Higher</v>
      </c>
    </row>
    <row r="589" spans="1:3" x14ac:dyDescent="0.25">
      <c r="A589" s="5" t="s">
        <v>91</v>
      </c>
      <c r="B589" s="6">
        <v>1403</v>
      </c>
      <c r="C589" s="7" t="str" cm="1">
        <f t="array" ref="C589">_xlfn.IFS(B589 &lt;= 567, "Cheap", B589 &lt;= 1033, "Medium", TRUE, "Higher")</f>
        <v>Higher</v>
      </c>
    </row>
    <row r="590" spans="1:3" x14ac:dyDescent="0.25">
      <c r="A590" s="5" t="s">
        <v>91</v>
      </c>
      <c r="B590" s="6">
        <v>1406</v>
      </c>
      <c r="C590" s="7" t="str" cm="1">
        <f t="array" ref="C590">_xlfn.IFS(B590 &lt;= 567, "Cheap", B590 &lt;= 1033, "Medium", TRUE, "Higher")</f>
        <v>Higher</v>
      </c>
    </row>
    <row r="591" spans="1:3" x14ac:dyDescent="0.25">
      <c r="A591" s="5" t="s">
        <v>91</v>
      </c>
      <c r="B591" s="6">
        <v>1435</v>
      </c>
      <c r="C591" s="7" t="str" cm="1">
        <f t="array" ref="C591">_xlfn.IFS(B591 &lt;= 567, "Cheap", B591 &lt;= 1033, "Medium", TRUE, "Higher")</f>
        <v>Higher</v>
      </c>
    </row>
    <row r="592" spans="1:3" x14ac:dyDescent="0.25">
      <c r="A592" s="5" t="s">
        <v>91</v>
      </c>
      <c r="B592" s="6">
        <v>1436</v>
      </c>
      <c r="C592" s="7" t="str" cm="1">
        <f t="array" ref="C592">_xlfn.IFS(B592 &lt;= 567, "Cheap", B592 &lt;= 1033, "Medium", TRUE, "Higher")</f>
        <v>Higher</v>
      </c>
    </row>
    <row r="593" spans="1:3" x14ac:dyDescent="0.25">
      <c r="A593" s="5" t="s">
        <v>91</v>
      </c>
      <c r="B593" s="6">
        <v>1465</v>
      </c>
      <c r="C593" s="7" t="str" cm="1">
        <f t="array" ref="C593">_xlfn.IFS(B593 &lt;= 567, "Cheap", B593 &lt;= 1033, "Medium", TRUE, "Higher")</f>
        <v>Higher</v>
      </c>
    </row>
    <row r="594" spans="1:3" x14ac:dyDescent="0.25">
      <c r="A594" s="5" t="s">
        <v>91</v>
      </c>
      <c r="B594" s="6">
        <v>1498</v>
      </c>
      <c r="C594" s="7" t="str" cm="1">
        <f t="array" ref="C594">_xlfn.IFS(B594 &lt;= 567, "Cheap", B594 &lt;= 1033, "Medium", TRUE, "Higher")</f>
        <v>Higher</v>
      </c>
    </row>
    <row r="595" spans="1:3" x14ac:dyDescent="0.25">
      <c r="A595" s="5" t="s">
        <v>33</v>
      </c>
      <c r="B595" s="6">
        <v>1048</v>
      </c>
      <c r="C595" s="7" t="str" cm="1">
        <f t="array" ref="C595">_xlfn.IFS(B595 &lt;= 567, "Cheap", B595 &lt;= 1033, "Medium", TRUE, "Higher")</f>
        <v>Higher</v>
      </c>
    </row>
    <row r="596" spans="1:3" x14ac:dyDescent="0.25">
      <c r="A596" s="5" t="s">
        <v>33</v>
      </c>
      <c r="B596" s="6">
        <v>1069</v>
      </c>
      <c r="C596" s="7" t="str" cm="1">
        <f t="array" ref="C596">_xlfn.IFS(B596 &lt;= 567, "Cheap", B596 &lt;= 1033, "Medium", TRUE, "Higher")</f>
        <v>Higher</v>
      </c>
    </row>
    <row r="597" spans="1:3" x14ac:dyDescent="0.25">
      <c r="A597" s="5" t="s">
        <v>33</v>
      </c>
      <c r="B597" s="6">
        <v>1118</v>
      </c>
      <c r="C597" s="7" t="str" cm="1">
        <f t="array" ref="C597">_xlfn.IFS(B597 &lt;= 567, "Cheap", B597 &lt;= 1033, "Medium", TRUE, "Higher")</f>
        <v>Higher</v>
      </c>
    </row>
    <row r="598" spans="1:3" x14ac:dyDescent="0.25">
      <c r="A598" s="5" t="s">
        <v>33</v>
      </c>
      <c r="B598" s="6">
        <v>1119</v>
      </c>
      <c r="C598" s="7" t="str" cm="1">
        <f t="array" ref="C598">_xlfn.IFS(B598 &lt;= 567, "Cheap", B598 &lt;= 1033, "Medium", TRUE, "Higher")</f>
        <v>Higher</v>
      </c>
    </row>
    <row r="599" spans="1:3" x14ac:dyDescent="0.25">
      <c r="A599" s="5" t="s">
        <v>33</v>
      </c>
      <c r="B599" s="6">
        <v>1137</v>
      </c>
      <c r="C599" s="7" t="str" cm="1">
        <f t="array" ref="C599">_xlfn.IFS(B599 &lt;= 567, "Cheap", B599 &lt;= 1033, "Medium", TRUE, "Higher")</f>
        <v>Higher</v>
      </c>
    </row>
    <row r="600" spans="1:3" x14ac:dyDescent="0.25">
      <c r="A600" s="5" t="s">
        <v>33</v>
      </c>
      <c r="B600" s="6">
        <v>1146</v>
      </c>
      <c r="C600" s="7" t="str" cm="1">
        <f t="array" ref="C600">_xlfn.IFS(B600 &lt;= 567, "Cheap", B600 &lt;= 1033, "Medium", TRUE, "Higher")</f>
        <v>Higher</v>
      </c>
    </row>
    <row r="601" spans="1:3" x14ac:dyDescent="0.25">
      <c r="A601" s="5" t="s">
        <v>33</v>
      </c>
      <c r="B601" s="6">
        <v>1159</v>
      </c>
      <c r="C601" s="7" t="str" cm="1">
        <f t="array" ref="C601">_xlfn.IFS(B601 &lt;= 567, "Cheap", B601 &lt;= 1033, "Medium", TRUE, "Higher")</f>
        <v>Higher</v>
      </c>
    </row>
    <row r="602" spans="1:3" x14ac:dyDescent="0.25">
      <c r="A602" s="5" t="s">
        <v>33</v>
      </c>
      <c r="B602" s="6">
        <v>1160</v>
      </c>
      <c r="C602" s="7" t="str" cm="1">
        <f t="array" ref="C602">_xlfn.IFS(B602 &lt;= 567, "Cheap", B602 &lt;= 1033, "Medium", TRUE, "Higher")</f>
        <v>Higher</v>
      </c>
    </row>
    <row r="603" spans="1:3" x14ac:dyDescent="0.25">
      <c r="A603" s="5" t="s">
        <v>33</v>
      </c>
      <c r="B603" s="6">
        <v>1161</v>
      </c>
      <c r="C603" s="7" t="str" cm="1">
        <f t="array" ref="C603">_xlfn.IFS(B603 &lt;= 567, "Cheap", B603 &lt;= 1033, "Medium", TRUE, "Higher")</f>
        <v>Higher</v>
      </c>
    </row>
    <row r="604" spans="1:3" x14ac:dyDescent="0.25">
      <c r="A604" s="5" t="s">
        <v>33</v>
      </c>
      <c r="B604" s="6">
        <v>1165</v>
      </c>
      <c r="C604" s="7" t="str" cm="1">
        <f t="array" ref="C604">_xlfn.IFS(B604 &lt;= 567, "Cheap", B604 &lt;= 1033, "Medium", TRUE, "Higher")</f>
        <v>Higher</v>
      </c>
    </row>
    <row r="605" spans="1:3" x14ac:dyDescent="0.25">
      <c r="A605" s="5" t="s">
        <v>33</v>
      </c>
      <c r="B605" s="6">
        <v>1178</v>
      </c>
      <c r="C605" s="7" t="str" cm="1">
        <f t="array" ref="C605">_xlfn.IFS(B605 &lt;= 567, "Cheap", B605 &lt;= 1033, "Medium", TRUE, "Higher")</f>
        <v>Higher</v>
      </c>
    </row>
    <row r="606" spans="1:3" x14ac:dyDescent="0.25">
      <c r="A606" s="5" t="s">
        <v>33</v>
      </c>
      <c r="B606" s="6">
        <v>1206</v>
      </c>
      <c r="C606" s="7" t="str" cm="1">
        <f t="array" ref="C606">_xlfn.IFS(B606 &lt;= 567, "Cheap", B606 &lt;= 1033, "Medium", TRUE, "Higher")</f>
        <v>Higher</v>
      </c>
    </row>
    <row r="607" spans="1:3" x14ac:dyDescent="0.25">
      <c r="A607" s="5" t="s">
        <v>33</v>
      </c>
      <c r="B607" s="6">
        <v>1210</v>
      </c>
      <c r="C607" s="7" t="str" cm="1">
        <f t="array" ref="C607">_xlfn.IFS(B607 &lt;= 567, "Cheap", B607 &lt;= 1033, "Medium", TRUE, "Higher")</f>
        <v>Higher</v>
      </c>
    </row>
    <row r="608" spans="1:3" x14ac:dyDescent="0.25">
      <c r="A608" s="5" t="s">
        <v>33</v>
      </c>
      <c r="B608" s="6">
        <v>1218</v>
      </c>
      <c r="C608" s="7" t="str" cm="1">
        <f t="array" ref="C608">_xlfn.IFS(B608 &lt;= 567, "Cheap", B608 &lt;= 1033, "Medium", TRUE, "Higher")</f>
        <v>Higher</v>
      </c>
    </row>
    <row r="609" spans="1:3" x14ac:dyDescent="0.25">
      <c r="A609" s="5" t="s">
        <v>33</v>
      </c>
      <c r="B609" s="6">
        <v>1220</v>
      </c>
      <c r="C609" s="7" t="str" cm="1">
        <f t="array" ref="C609">_xlfn.IFS(B609 &lt;= 567, "Cheap", B609 &lt;= 1033, "Medium", TRUE, "Higher")</f>
        <v>Higher</v>
      </c>
    </row>
    <row r="610" spans="1:3" x14ac:dyDescent="0.25">
      <c r="A610" s="5" t="s">
        <v>33</v>
      </c>
      <c r="B610" s="6">
        <v>1220</v>
      </c>
      <c r="C610" s="7" t="str" cm="1">
        <f t="array" ref="C610">_xlfn.IFS(B610 &lt;= 567, "Cheap", B610 &lt;= 1033, "Medium", TRUE, "Higher")</f>
        <v>Higher</v>
      </c>
    </row>
    <row r="611" spans="1:3" x14ac:dyDescent="0.25">
      <c r="A611" s="5" t="s">
        <v>33</v>
      </c>
      <c r="B611" s="6">
        <v>1235</v>
      </c>
      <c r="C611" s="7" t="str" cm="1">
        <f t="array" ref="C611">_xlfn.IFS(B611 &lt;= 567, "Cheap", B611 &lt;= 1033, "Medium", TRUE, "Higher")</f>
        <v>Higher</v>
      </c>
    </row>
    <row r="612" spans="1:3" x14ac:dyDescent="0.25">
      <c r="A612" s="5" t="s">
        <v>33</v>
      </c>
      <c r="B612" s="6">
        <v>1257</v>
      </c>
      <c r="C612" s="7" t="str" cm="1">
        <f t="array" ref="C612">_xlfn.IFS(B612 &lt;= 567, "Cheap", B612 &lt;= 1033, "Medium", TRUE, "Higher")</f>
        <v>Higher</v>
      </c>
    </row>
    <row r="613" spans="1:3" x14ac:dyDescent="0.25">
      <c r="A613" s="5" t="s">
        <v>33</v>
      </c>
      <c r="B613" s="6">
        <v>1267</v>
      </c>
      <c r="C613" s="7" t="str" cm="1">
        <f t="array" ref="C613">_xlfn.IFS(B613 &lt;= 567, "Cheap", B613 &lt;= 1033, "Medium", TRUE, "Higher")</f>
        <v>Higher</v>
      </c>
    </row>
    <row r="614" spans="1:3" x14ac:dyDescent="0.25">
      <c r="A614" s="5" t="s">
        <v>33</v>
      </c>
      <c r="B614" s="6">
        <v>1282</v>
      </c>
      <c r="C614" s="7" t="str" cm="1">
        <f t="array" ref="C614">_xlfn.IFS(B614 &lt;= 567, "Cheap", B614 &lt;= 1033, "Medium", TRUE, "Higher")</f>
        <v>Higher</v>
      </c>
    </row>
    <row r="615" spans="1:3" x14ac:dyDescent="0.25">
      <c r="A615" s="5" t="s">
        <v>33</v>
      </c>
      <c r="B615" s="6">
        <v>1315</v>
      </c>
      <c r="C615" s="7" t="str" cm="1">
        <f t="array" ref="C615">_xlfn.IFS(B615 &lt;= 567, "Cheap", B615 &lt;= 1033, "Medium", TRUE, "Higher")</f>
        <v>Higher</v>
      </c>
    </row>
    <row r="616" spans="1:3" x14ac:dyDescent="0.25">
      <c r="A616" s="5" t="s">
        <v>33</v>
      </c>
      <c r="B616" s="6">
        <v>1325</v>
      </c>
      <c r="C616" s="7" t="str" cm="1">
        <f t="array" ref="C616">_xlfn.IFS(B616 &lt;= 567, "Cheap", B616 &lt;= 1033, "Medium", TRUE, "Higher")</f>
        <v>Higher</v>
      </c>
    </row>
    <row r="617" spans="1:3" x14ac:dyDescent="0.25">
      <c r="A617" s="5" t="s">
        <v>33</v>
      </c>
      <c r="B617" s="6">
        <v>1328</v>
      </c>
      <c r="C617" s="7" t="str" cm="1">
        <f t="array" ref="C617">_xlfn.IFS(B617 &lt;= 567, "Cheap", B617 &lt;= 1033, "Medium", TRUE, "Higher")</f>
        <v>Higher</v>
      </c>
    </row>
    <row r="618" spans="1:3" x14ac:dyDescent="0.25">
      <c r="A618" s="5" t="s">
        <v>33</v>
      </c>
      <c r="B618" s="6">
        <v>1331</v>
      </c>
      <c r="C618" s="7" t="str" cm="1">
        <f t="array" ref="C618">_xlfn.IFS(B618 &lt;= 567, "Cheap", B618 &lt;= 1033, "Medium", TRUE, "Higher")</f>
        <v>Higher</v>
      </c>
    </row>
    <row r="619" spans="1:3" x14ac:dyDescent="0.25">
      <c r="A619" s="5" t="s">
        <v>33</v>
      </c>
      <c r="B619" s="6">
        <v>1345</v>
      </c>
      <c r="C619" s="7" t="str" cm="1">
        <f t="array" ref="C619">_xlfn.IFS(B619 &lt;= 567, "Cheap", B619 &lt;= 1033, "Medium", TRUE, "Higher")</f>
        <v>Higher</v>
      </c>
    </row>
    <row r="620" spans="1:3" x14ac:dyDescent="0.25">
      <c r="A620" s="5" t="s">
        <v>33</v>
      </c>
      <c r="B620" s="6">
        <v>1373</v>
      </c>
      <c r="C620" s="7" t="str" cm="1">
        <f t="array" ref="C620">_xlfn.IFS(B620 &lt;= 567, "Cheap", B620 &lt;= 1033, "Medium", TRUE, "Higher")</f>
        <v>Higher</v>
      </c>
    </row>
    <row r="621" spans="1:3" x14ac:dyDescent="0.25">
      <c r="A621" s="5" t="s">
        <v>33</v>
      </c>
      <c r="B621" s="6">
        <v>1384</v>
      </c>
      <c r="C621" s="7" t="str" cm="1">
        <f t="array" ref="C621">_xlfn.IFS(B621 &lt;= 567, "Cheap", B621 &lt;= 1033, "Medium", TRUE, "Higher")</f>
        <v>Higher</v>
      </c>
    </row>
    <row r="622" spans="1:3" x14ac:dyDescent="0.25">
      <c r="A622" s="5" t="s">
        <v>33</v>
      </c>
      <c r="B622" s="6">
        <v>1387</v>
      </c>
      <c r="C622" s="7" t="str" cm="1">
        <f t="array" ref="C622">_xlfn.IFS(B622 &lt;= 567, "Cheap", B622 &lt;= 1033, "Medium", TRUE, "Higher")</f>
        <v>Higher</v>
      </c>
    </row>
    <row r="623" spans="1:3" x14ac:dyDescent="0.25">
      <c r="A623" s="5" t="s">
        <v>33</v>
      </c>
      <c r="B623" s="6">
        <v>1397</v>
      </c>
      <c r="C623" s="7" t="str" cm="1">
        <f t="array" ref="C623">_xlfn.IFS(B623 &lt;= 567, "Cheap", B623 &lt;= 1033, "Medium", TRUE, "Higher")</f>
        <v>Higher</v>
      </c>
    </row>
    <row r="624" spans="1:3" x14ac:dyDescent="0.25">
      <c r="A624" s="5" t="s">
        <v>33</v>
      </c>
      <c r="B624" s="6">
        <v>1399</v>
      </c>
      <c r="C624" s="7" t="str" cm="1">
        <f t="array" ref="C624">_xlfn.IFS(B624 &lt;= 567, "Cheap", B624 &lt;= 1033, "Medium", TRUE, "Higher")</f>
        <v>Higher</v>
      </c>
    </row>
    <row r="625" spans="1:3" x14ac:dyDescent="0.25">
      <c r="A625" s="5" t="s">
        <v>33</v>
      </c>
      <c r="B625" s="6">
        <v>1403</v>
      </c>
      <c r="C625" s="7" t="str" cm="1">
        <f t="array" ref="C625">_xlfn.IFS(B625 &lt;= 567, "Cheap", B625 &lt;= 1033, "Medium", TRUE, "Higher")</f>
        <v>Higher</v>
      </c>
    </row>
    <row r="626" spans="1:3" x14ac:dyDescent="0.25">
      <c r="A626" s="5" t="s">
        <v>33</v>
      </c>
      <c r="B626" s="6">
        <v>1417</v>
      </c>
      <c r="C626" s="7" t="str" cm="1">
        <f t="array" ref="C626">_xlfn.IFS(B626 &lt;= 567, "Cheap", B626 &lt;= 1033, "Medium", TRUE, "Higher")</f>
        <v>Higher</v>
      </c>
    </row>
    <row r="627" spans="1:3" x14ac:dyDescent="0.25">
      <c r="A627" s="5" t="s">
        <v>33</v>
      </c>
      <c r="B627" s="6">
        <v>1417</v>
      </c>
      <c r="C627" s="7" t="str" cm="1">
        <f t="array" ref="C627">_xlfn.IFS(B627 &lt;= 567, "Cheap", B627 &lt;= 1033, "Medium", TRUE, "Higher")</f>
        <v>Higher</v>
      </c>
    </row>
    <row r="628" spans="1:3" x14ac:dyDescent="0.25">
      <c r="A628" s="5" t="s">
        <v>33</v>
      </c>
      <c r="B628" s="6">
        <v>1425</v>
      </c>
      <c r="C628" s="7" t="str" cm="1">
        <f t="array" ref="C628">_xlfn.IFS(B628 &lt;= 567, "Cheap", B628 &lt;= 1033, "Medium", TRUE, "Higher")</f>
        <v>Higher</v>
      </c>
    </row>
    <row r="629" spans="1:3" x14ac:dyDescent="0.25">
      <c r="A629" s="5" t="s">
        <v>33</v>
      </c>
      <c r="B629" s="6">
        <v>1429</v>
      </c>
      <c r="C629" s="7" t="str" cm="1">
        <f t="array" ref="C629">_xlfn.IFS(B629 &lt;= 567, "Cheap", B629 &lt;= 1033, "Medium", TRUE, "Higher")</f>
        <v>Higher</v>
      </c>
    </row>
    <row r="630" spans="1:3" x14ac:dyDescent="0.25">
      <c r="A630" s="5" t="s">
        <v>33</v>
      </c>
      <c r="B630" s="6">
        <v>1447</v>
      </c>
      <c r="C630" s="7" t="str" cm="1">
        <f t="array" ref="C630">_xlfn.IFS(B630 &lt;= 567, "Cheap", B630 &lt;= 1033, "Medium", TRUE, "Higher")</f>
        <v>Higher</v>
      </c>
    </row>
    <row r="631" spans="1:3" x14ac:dyDescent="0.25">
      <c r="A631" s="5" t="s">
        <v>33</v>
      </c>
      <c r="B631" s="6">
        <v>1455</v>
      </c>
      <c r="C631" s="7" t="str" cm="1">
        <f t="array" ref="C631">_xlfn.IFS(B631 &lt;= 567, "Cheap", B631 &lt;= 1033, "Medium", TRUE, "Higher")</f>
        <v>Higher</v>
      </c>
    </row>
    <row r="632" spans="1:3" x14ac:dyDescent="0.25">
      <c r="A632" s="5" t="s">
        <v>33</v>
      </c>
      <c r="B632" s="6">
        <v>1479</v>
      </c>
      <c r="C632" s="7" t="str" cm="1">
        <f t="array" ref="C632">_xlfn.IFS(B632 &lt;= 567, "Cheap", B632 &lt;= 1033, "Medium", TRUE, "Higher")</f>
        <v>Higher</v>
      </c>
    </row>
    <row r="633" spans="1:3" x14ac:dyDescent="0.25">
      <c r="A633" s="5" t="s">
        <v>33</v>
      </c>
      <c r="B633" s="6">
        <v>1479</v>
      </c>
      <c r="C633" s="7" t="str" cm="1">
        <f t="array" ref="C633">_xlfn.IFS(B633 &lt;= 567, "Cheap", B633 &lt;= 1033, "Medium", TRUE, "Higher")</f>
        <v>Higher</v>
      </c>
    </row>
    <row r="634" spans="1:3" x14ac:dyDescent="0.25">
      <c r="A634" s="5" t="s">
        <v>33</v>
      </c>
      <c r="B634" s="6">
        <v>1483</v>
      </c>
      <c r="C634" s="7" t="str" cm="1">
        <f t="array" ref="C634">_xlfn.IFS(B634 &lt;= 567, "Cheap", B634 &lt;= 1033, "Medium", TRUE, "Higher")</f>
        <v>Higher</v>
      </c>
    </row>
    <row r="635" spans="1:3" x14ac:dyDescent="0.25">
      <c r="A635" s="5" t="s">
        <v>33</v>
      </c>
      <c r="B635" s="6">
        <v>1486</v>
      </c>
      <c r="C635" s="7" t="str" cm="1">
        <f t="array" ref="C635">_xlfn.IFS(B635 &lt;= 567, "Cheap", B635 &lt;= 1033, "Medium", TRUE, "Higher")</f>
        <v>Higher</v>
      </c>
    </row>
    <row r="636" spans="1:3" x14ac:dyDescent="0.25">
      <c r="A636" s="5" t="s">
        <v>33</v>
      </c>
      <c r="B636" s="6">
        <v>1495</v>
      </c>
      <c r="C636" s="7" t="str" cm="1">
        <f t="array" ref="C636">_xlfn.IFS(B636 &lt;= 567, "Cheap", B636 &lt;= 1033, "Medium", TRUE, "Higher")</f>
        <v>Higher</v>
      </c>
    </row>
    <row r="637" spans="1:3" x14ac:dyDescent="0.25">
      <c r="A637" s="5" t="s">
        <v>33</v>
      </c>
      <c r="B637" s="6">
        <v>1499</v>
      </c>
      <c r="C637" s="7" t="str" cm="1">
        <f t="array" ref="C637">_xlfn.IFS(B637 &lt;= 567, "Cheap", B637 &lt;= 1033, "Medium", TRUE, "Higher")</f>
        <v>Higher</v>
      </c>
    </row>
    <row r="638" spans="1:3" x14ac:dyDescent="0.25">
      <c r="A638" s="5" t="s">
        <v>19</v>
      </c>
      <c r="B638" s="6">
        <v>1038</v>
      </c>
      <c r="C638" s="7" t="str" cm="1">
        <f t="array" ref="C638">_xlfn.IFS(B638 &lt;= 567, "Cheap", B638 &lt;= 1033, "Medium", TRUE, "Higher")</f>
        <v>Higher</v>
      </c>
    </row>
    <row r="639" spans="1:3" x14ac:dyDescent="0.25">
      <c r="A639" s="5" t="s">
        <v>19</v>
      </c>
      <c r="B639" s="6">
        <v>1039</v>
      </c>
      <c r="C639" s="7" t="str" cm="1">
        <f t="array" ref="C639">_xlfn.IFS(B639 &lt;= 567, "Cheap", B639 &lt;= 1033, "Medium", TRUE, "Higher")</f>
        <v>Higher</v>
      </c>
    </row>
    <row r="640" spans="1:3" x14ac:dyDescent="0.25">
      <c r="A640" s="5" t="s">
        <v>19</v>
      </c>
      <c r="B640" s="6">
        <v>1042</v>
      </c>
      <c r="C640" s="7" t="str" cm="1">
        <f t="array" ref="C640">_xlfn.IFS(B640 &lt;= 567, "Cheap", B640 &lt;= 1033, "Medium", TRUE, "Higher")</f>
        <v>Higher</v>
      </c>
    </row>
    <row r="641" spans="1:3" x14ac:dyDescent="0.25">
      <c r="A641" s="5" t="s">
        <v>19</v>
      </c>
      <c r="B641" s="6">
        <v>1057</v>
      </c>
      <c r="C641" s="7" t="str" cm="1">
        <f t="array" ref="C641">_xlfn.IFS(B641 &lt;= 567, "Cheap", B641 &lt;= 1033, "Medium", TRUE, "Higher")</f>
        <v>Higher</v>
      </c>
    </row>
    <row r="642" spans="1:3" x14ac:dyDescent="0.25">
      <c r="A642" s="5" t="s">
        <v>19</v>
      </c>
      <c r="B642" s="6">
        <v>1062</v>
      </c>
      <c r="C642" s="7" t="str" cm="1">
        <f t="array" ref="C642">_xlfn.IFS(B642 &lt;= 567, "Cheap", B642 &lt;= 1033, "Medium", TRUE, "Higher")</f>
        <v>Higher</v>
      </c>
    </row>
    <row r="643" spans="1:3" x14ac:dyDescent="0.25">
      <c r="A643" s="5" t="s">
        <v>19</v>
      </c>
      <c r="B643" s="6">
        <v>1067</v>
      </c>
      <c r="C643" s="7" t="str" cm="1">
        <f t="array" ref="C643">_xlfn.IFS(B643 &lt;= 567, "Cheap", B643 &lt;= 1033, "Medium", TRUE, "Higher")</f>
        <v>Higher</v>
      </c>
    </row>
    <row r="644" spans="1:3" x14ac:dyDescent="0.25">
      <c r="A644" s="5" t="s">
        <v>19</v>
      </c>
      <c r="B644" s="6">
        <v>1079</v>
      </c>
      <c r="C644" s="7" t="str" cm="1">
        <f t="array" ref="C644">_xlfn.IFS(B644 &lt;= 567, "Cheap", B644 &lt;= 1033, "Medium", TRUE, "Higher")</f>
        <v>Higher</v>
      </c>
    </row>
    <row r="645" spans="1:3" x14ac:dyDescent="0.25">
      <c r="A645" s="5" t="s">
        <v>19</v>
      </c>
      <c r="B645" s="6">
        <v>1094</v>
      </c>
      <c r="C645" s="7" t="str" cm="1">
        <f t="array" ref="C645">_xlfn.IFS(B645 &lt;= 567, "Cheap", B645 &lt;= 1033, "Medium", TRUE, "Higher")</f>
        <v>Higher</v>
      </c>
    </row>
    <row r="646" spans="1:3" x14ac:dyDescent="0.25">
      <c r="A646" s="5" t="s">
        <v>19</v>
      </c>
      <c r="B646" s="6">
        <v>1126</v>
      </c>
      <c r="C646" s="7" t="str" cm="1">
        <f t="array" ref="C646">_xlfn.IFS(B646 &lt;= 567, "Cheap", B646 &lt;= 1033, "Medium", TRUE, "Higher")</f>
        <v>Higher</v>
      </c>
    </row>
    <row r="647" spans="1:3" x14ac:dyDescent="0.25">
      <c r="A647" s="5" t="s">
        <v>19</v>
      </c>
      <c r="B647" s="6">
        <v>1140</v>
      </c>
      <c r="C647" s="7" t="str" cm="1">
        <f t="array" ref="C647">_xlfn.IFS(B647 &lt;= 567, "Cheap", B647 &lt;= 1033, "Medium", TRUE, "Higher")</f>
        <v>Higher</v>
      </c>
    </row>
    <row r="648" spans="1:3" x14ac:dyDescent="0.25">
      <c r="A648" s="5" t="s">
        <v>19</v>
      </c>
      <c r="B648" s="6">
        <v>1150</v>
      </c>
      <c r="C648" s="7" t="str" cm="1">
        <f t="array" ref="C648">_xlfn.IFS(B648 &lt;= 567, "Cheap", B648 &lt;= 1033, "Medium", TRUE, "Higher")</f>
        <v>Higher</v>
      </c>
    </row>
    <row r="649" spans="1:3" x14ac:dyDescent="0.25">
      <c r="A649" s="5" t="s">
        <v>19</v>
      </c>
      <c r="B649" s="6">
        <v>1164</v>
      </c>
      <c r="C649" s="7" t="str" cm="1">
        <f t="array" ref="C649">_xlfn.IFS(B649 &lt;= 567, "Cheap", B649 &lt;= 1033, "Medium", TRUE, "Higher")</f>
        <v>Higher</v>
      </c>
    </row>
    <row r="650" spans="1:3" x14ac:dyDescent="0.25">
      <c r="A650" s="5" t="s">
        <v>19</v>
      </c>
      <c r="B650" s="6">
        <v>1190</v>
      </c>
      <c r="C650" s="7" t="str" cm="1">
        <f t="array" ref="C650">_xlfn.IFS(B650 &lt;= 567, "Cheap", B650 &lt;= 1033, "Medium", TRUE, "Higher")</f>
        <v>Higher</v>
      </c>
    </row>
    <row r="651" spans="1:3" x14ac:dyDescent="0.25">
      <c r="A651" s="5" t="s">
        <v>19</v>
      </c>
      <c r="B651" s="6">
        <v>1194</v>
      </c>
      <c r="C651" s="7" t="str" cm="1">
        <f t="array" ref="C651">_xlfn.IFS(B651 &lt;= 567, "Cheap", B651 &lt;= 1033, "Medium", TRUE, "Higher")</f>
        <v>Higher</v>
      </c>
    </row>
    <row r="652" spans="1:3" x14ac:dyDescent="0.25">
      <c r="A652" s="5" t="s">
        <v>19</v>
      </c>
      <c r="B652" s="6">
        <v>1196</v>
      </c>
      <c r="C652" s="7" t="str" cm="1">
        <f t="array" ref="C652">_xlfn.IFS(B652 &lt;= 567, "Cheap", B652 &lt;= 1033, "Medium", TRUE, "Higher")</f>
        <v>Higher</v>
      </c>
    </row>
    <row r="653" spans="1:3" x14ac:dyDescent="0.25">
      <c r="A653" s="5" t="s">
        <v>19</v>
      </c>
      <c r="B653" s="6">
        <v>1229</v>
      </c>
      <c r="C653" s="7" t="str" cm="1">
        <f t="array" ref="C653">_xlfn.IFS(B653 &lt;= 567, "Cheap", B653 &lt;= 1033, "Medium", TRUE, "Higher")</f>
        <v>Higher</v>
      </c>
    </row>
    <row r="654" spans="1:3" x14ac:dyDescent="0.25">
      <c r="A654" s="5" t="s">
        <v>19</v>
      </c>
      <c r="B654" s="6">
        <v>1231</v>
      </c>
      <c r="C654" s="7" t="str" cm="1">
        <f t="array" ref="C654">_xlfn.IFS(B654 &lt;= 567, "Cheap", B654 &lt;= 1033, "Medium", TRUE, "Higher")</f>
        <v>Higher</v>
      </c>
    </row>
    <row r="655" spans="1:3" x14ac:dyDescent="0.25">
      <c r="A655" s="5" t="s">
        <v>19</v>
      </c>
      <c r="B655" s="6">
        <v>1236</v>
      </c>
      <c r="C655" s="7" t="str" cm="1">
        <f t="array" ref="C655">_xlfn.IFS(B655 &lt;= 567, "Cheap", B655 &lt;= 1033, "Medium", TRUE, "Higher")</f>
        <v>Higher</v>
      </c>
    </row>
    <row r="656" spans="1:3" x14ac:dyDescent="0.25">
      <c r="A656" s="5" t="s">
        <v>19</v>
      </c>
      <c r="B656" s="6">
        <v>1246</v>
      </c>
      <c r="C656" s="7" t="str" cm="1">
        <f t="array" ref="C656">_xlfn.IFS(B656 &lt;= 567, "Cheap", B656 &lt;= 1033, "Medium", TRUE, "Higher")</f>
        <v>Higher</v>
      </c>
    </row>
    <row r="657" spans="1:3" x14ac:dyDescent="0.25">
      <c r="A657" s="5" t="s">
        <v>19</v>
      </c>
      <c r="B657" s="6">
        <v>1255</v>
      </c>
      <c r="C657" s="7" t="str" cm="1">
        <f t="array" ref="C657">_xlfn.IFS(B657 &lt;= 567, "Cheap", B657 &lt;= 1033, "Medium", TRUE, "Higher")</f>
        <v>Higher</v>
      </c>
    </row>
    <row r="658" spans="1:3" x14ac:dyDescent="0.25">
      <c r="A658" s="5" t="s">
        <v>19</v>
      </c>
      <c r="B658" s="6">
        <v>1255</v>
      </c>
      <c r="C658" s="7" t="str" cm="1">
        <f t="array" ref="C658">_xlfn.IFS(B658 &lt;= 567, "Cheap", B658 &lt;= 1033, "Medium", TRUE, "Higher")</f>
        <v>Higher</v>
      </c>
    </row>
    <row r="659" spans="1:3" x14ac:dyDescent="0.25">
      <c r="A659" s="5" t="s">
        <v>19</v>
      </c>
      <c r="B659" s="6">
        <v>1276</v>
      </c>
      <c r="C659" s="7" t="str" cm="1">
        <f t="array" ref="C659">_xlfn.IFS(B659 &lt;= 567, "Cheap", B659 &lt;= 1033, "Medium", TRUE, "Higher")</f>
        <v>Higher</v>
      </c>
    </row>
    <row r="660" spans="1:3" x14ac:dyDescent="0.25">
      <c r="A660" s="5" t="s">
        <v>19</v>
      </c>
      <c r="B660" s="6">
        <v>1277</v>
      </c>
      <c r="C660" s="7" t="str" cm="1">
        <f t="array" ref="C660">_xlfn.IFS(B660 &lt;= 567, "Cheap", B660 &lt;= 1033, "Medium", TRUE, "Higher")</f>
        <v>Higher</v>
      </c>
    </row>
    <row r="661" spans="1:3" x14ac:dyDescent="0.25">
      <c r="A661" s="5" t="s">
        <v>19</v>
      </c>
      <c r="B661" s="6">
        <v>1295</v>
      </c>
      <c r="C661" s="7" t="str" cm="1">
        <f t="array" ref="C661">_xlfn.IFS(B661 &lt;= 567, "Cheap", B661 &lt;= 1033, "Medium", TRUE, "Higher")</f>
        <v>Higher</v>
      </c>
    </row>
    <row r="662" spans="1:3" x14ac:dyDescent="0.25">
      <c r="A662" s="5" t="s">
        <v>19</v>
      </c>
      <c r="B662" s="6">
        <v>1309</v>
      </c>
      <c r="C662" s="7" t="str" cm="1">
        <f t="array" ref="C662">_xlfn.IFS(B662 &lt;= 567, "Cheap", B662 &lt;= 1033, "Medium", TRUE, "Higher")</f>
        <v>Higher</v>
      </c>
    </row>
    <row r="663" spans="1:3" x14ac:dyDescent="0.25">
      <c r="A663" s="5" t="s">
        <v>19</v>
      </c>
      <c r="B663" s="6">
        <v>1332</v>
      </c>
      <c r="C663" s="7" t="str" cm="1">
        <f t="array" ref="C663">_xlfn.IFS(B663 &lt;= 567, "Cheap", B663 &lt;= 1033, "Medium", TRUE, "Higher")</f>
        <v>Higher</v>
      </c>
    </row>
    <row r="664" spans="1:3" x14ac:dyDescent="0.25">
      <c r="A664" s="5" t="s">
        <v>19</v>
      </c>
      <c r="B664" s="6">
        <v>1336</v>
      </c>
      <c r="C664" s="7" t="str" cm="1">
        <f t="array" ref="C664">_xlfn.IFS(B664 &lt;= 567, "Cheap", B664 &lt;= 1033, "Medium", TRUE, "Higher")</f>
        <v>Higher</v>
      </c>
    </row>
    <row r="665" spans="1:3" x14ac:dyDescent="0.25">
      <c r="A665" s="5" t="s">
        <v>19</v>
      </c>
      <c r="B665" s="6">
        <v>1343</v>
      </c>
      <c r="C665" s="7" t="str" cm="1">
        <f t="array" ref="C665">_xlfn.IFS(B665 &lt;= 567, "Cheap", B665 &lt;= 1033, "Medium", TRUE, "Higher")</f>
        <v>Higher</v>
      </c>
    </row>
    <row r="666" spans="1:3" x14ac:dyDescent="0.25">
      <c r="A666" s="5" t="s">
        <v>19</v>
      </c>
      <c r="B666" s="6">
        <v>1349</v>
      </c>
      <c r="C666" s="7" t="str" cm="1">
        <f t="array" ref="C666">_xlfn.IFS(B666 &lt;= 567, "Cheap", B666 &lt;= 1033, "Medium", TRUE, "Higher")</f>
        <v>Higher</v>
      </c>
    </row>
    <row r="667" spans="1:3" x14ac:dyDescent="0.25">
      <c r="A667" s="5" t="s">
        <v>19</v>
      </c>
      <c r="B667" s="6">
        <v>1356</v>
      </c>
      <c r="C667" s="7" t="str" cm="1">
        <f t="array" ref="C667">_xlfn.IFS(B667 &lt;= 567, "Cheap", B667 &lt;= 1033, "Medium", TRUE, "Higher")</f>
        <v>Higher</v>
      </c>
    </row>
    <row r="668" spans="1:3" x14ac:dyDescent="0.25">
      <c r="A668" s="5" t="s">
        <v>19</v>
      </c>
      <c r="B668" s="6">
        <v>1357</v>
      </c>
      <c r="C668" s="7" t="str" cm="1">
        <f t="array" ref="C668">_xlfn.IFS(B668 &lt;= 567, "Cheap", B668 &lt;= 1033, "Medium", TRUE, "Higher")</f>
        <v>Higher</v>
      </c>
    </row>
    <row r="669" spans="1:3" x14ac:dyDescent="0.25">
      <c r="A669" s="5" t="s">
        <v>19</v>
      </c>
      <c r="B669" s="6">
        <v>1363</v>
      </c>
      <c r="C669" s="7" t="str" cm="1">
        <f t="array" ref="C669">_xlfn.IFS(B669 &lt;= 567, "Cheap", B669 &lt;= 1033, "Medium", TRUE, "Higher")</f>
        <v>Higher</v>
      </c>
    </row>
    <row r="670" spans="1:3" x14ac:dyDescent="0.25">
      <c r="A670" s="5" t="s">
        <v>19</v>
      </c>
      <c r="B670" s="6">
        <v>1374</v>
      </c>
      <c r="C670" s="7" t="str" cm="1">
        <f t="array" ref="C670">_xlfn.IFS(B670 &lt;= 567, "Cheap", B670 &lt;= 1033, "Medium", TRUE, "Higher")</f>
        <v>Higher</v>
      </c>
    </row>
    <row r="671" spans="1:3" x14ac:dyDescent="0.25">
      <c r="A671" s="5" t="s">
        <v>19</v>
      </c>
      <c r="B671" s="6">
        <v>1381</v>
      </c>
      <c r="C671" s="7" t="str" cm="1">
        <f t="array" ref="C671">_xlfn.IFS(B671 &lt;= 567, "Cheap", B671 &lt;= 1033, "Medium", TRUE, "Higher")</f>
        <v>Higher</v>
      </c>
    </row>
    <row r="672" spans="1:3" x14ac:dyDescent="0.25">
      <c r="A672" s="5" t="s">
        <v>19</v>
      </c>
      <c r="B672" s="6">
        <v>1399</v>
      </c>
      <c r="C672" s="7" t="str" cm="1">
        <f t="array" ref="C672">_xlfn.IFS(B672 &lt;= 567, "Cheap", B672 &lt;= 1033, "Medium", TRUE, "Higher")</f>
        <v>Higher</v>
      </c>
    </row>
    <row r="673" spans="1:3" x14ac:dyDescent="0.25">
      <c r="A673" s="5" t="s">
        <v>19</v>
      </c>
      <c r="B673" s="6">
        <v>1408</v>
      </c>
      <c r="C673" s="7" t="str" cm="1">
        <f t="array" ref="C673">_xlfn.IFS(B673 &lt;= 567, "Cheap", B673 &lt;= 1033, "Medium", TRUE, "Higher")</f>
        <v>Higher</v>
      </c>
    </row>
    <row r="674" spans="1:3" x14ac:dyDescent="0.25">
      <c r="A674" s="5" t="s">
        <v>19</v>
      </c>
      <c r="B674" s="6">
        <v>1427</v>
      </c>
      <c r="C674" s="7" t="str" cm="1">
        <f t="array" ref="C674">_xlfn.IFS(B674 &lt;= 567, "Cheap", B674 &lt;= 1033, "Medium", TRUE, "Higher")</f>
        <v>Higher</v>
      </c>
    </row>
    <row r="675" spans="1:3" x14ac:dyDescent="0.25">
      <c r="A675" s="5" t="s">
        <v>19</v>
      </c>
      <c r="B675" s="6">
        <v>1436</v>
      </c>
      <c r="C675" s="7" t="str" cm="1">
        <f t="array" ref="C675">_xlfn.IFS(B675 &lt;= 567, "Cheap", B675 &lt;= 1033, "Medium", TRUE, "Higher")</f>
        <v>Higher</v>
      </c>
    </row>
    <row r="676" spans="1:3" x14ac:dyDescent="0.25">
      <c r="A676" s="5" t="s">
        <v>19</v>
      </c>
      <c r="B676" s="6">
        <v>1442</v>
      </c>
      <c r="C676" s="7" t="str" cm="1">
        <f t="array" ref="C676">_xlfn.IFS(B676 &lt;= 567, "Cheap", B676 &lt;= 1033, "Medium", TRUE, "Higher")</f>
        <v>Higher</v>
      </c>
    </row>
    <row r="677" spans="1:3" x14ac:dyDescent="0.25">
      <c r="A677" s="5" t="s">
        <v>19</v>
      </c>
      <c r="B677" s="6">
        <v>1449</v>
      </c>
      <c r="C677" s="7" t="str" cm="1">
        <f t="array" ref="C677">_xlfn.IFS(B677 &lt;= 567, "Cheap", B677 &lt;= 1033, "Medium", TRUE, "Higher")</f>
        <v>Higher</v>
      </c>
    </row>
    <row r="678" spans="1:3" x14ac:dyDescent="0.25">
      <c r="A678" s="5" t="s">
        <v>19</v>
      </c>
      <c r="B678" s="6">
        <v>1451</v>
      </c>
      <c r="C678" s="7" t="str" cm="1">
        <f t="array" ref="C678">_xlfn.IFS(B678 &lt;= 567, "Cheap", B678 &lt;= 1033, "Medium", TRUE, "Higher")</f>
        <v>Higher</v>
      </c>
    </row>
    <row r="679" spans="1:3" x14ac:dyDescent="0.25">
      <c r="A679" s="5" t="s">
        <v>19</v>
      </c>
      <c r="B679" s="6">
        <v>1462</v>
      </c>
      <c r="C679" s="7" t="str" cm="1">
        <f t="array" ref="C679">_xlfn.IFS(B679 &lt;= 567, "Cheap", B679 &lt;= 1033, "Medium", TRUE, "Higher")</f>
        <v>Higher</v>
      </c>
    </row>
    <row r="680" spans="1:3" x14ac:dyDescent="0.25">
      <c r="A680" s="5" t="s">
        <v>19</v>
      </c>
      <c r="B680" s="6">
        <v>1475</v>
      </c>
      <c r="C680" s="7" t="str" cm="1">
        <f t="array" ref="C680">_xlfn.IFS(B680 &lt;= 567, "Cheap", B680 &lt;= 1033, "Medium", TRUE, "Higher")</f>
        <v>Higher</v>
      </c>
    </row>
    <row r="681" spans="1:3" x14ac:dyDescent="0.25">
      <c r="A681" s="5" t="s">
        <v>19</v>
      </c>
      <c r="B681" s="6">
        <v>1496</v>
      </c>
      <c r="C681" s="7" t="str" cm="1">
        <f t="array" ref="C681">_xlfn.IFS(B681 &lt;= 567, "Cheap", B681 &lt;= 1033, "Medium", TRUE, "Higher")</f>
        <v>Higher</v>
      </c>
    </row>
    <row r="682" spans="1:3" x14ac:dyDescent="0.25">
      <c r="A682" s="5" t="s">
        <v>58</v>
      </c>
      <c r="B682" s="6">
        <v>579</v>
      </c>
      <c r="C682" s="7" t="str" cm="1">
        <f t="array" ref="C682">_xlfn.IFS(B682 &lt;= 567, "Cheap", B682 &lt;= 1033, "Medium", TRUE, "Higher")</f>
        <v>Medium</v>
      </c>
    </row>
    <row r="683" spans="1:3" x14ac:dyDescent="0.25">
      <c r="A683" s="5" t="s">
        <v>58</v>
      </c>
      <c r="B683" s="6">
        <v>582</v>
      </c>
      <c r="C683" s="7" t="str" cm="1">
        <f t="array" ref="C683">_xlfn.IFS(B683 &lt;= 567, "Cheap", B683 &lt;= 1033, "Medium", TRUE, "Higher")</f>
        <v>Medium</v>
      </c>
    </row>
    <row r="684" spans="1:3" x14ac:dyDescent="0.25">
      <c r="A684" s="5" t="s">
        <v>58</v>
      </c>
      <c r="B684" s="6">
        <v>602</v>
      </c>
      <c r="C684" s="7" t="str" cm="1">
        <f t="array" ref="C684">_xlfn.IFS(B684 &lt;= 567, "Cheap", B684 &lt;= 1033, "Medium", TRUE, "Higher")</f>
        <v>Medium</v>
      </c>
    </row>
    <row r="685" spans="1:3" x14ac:dyDescent="0.25">
      <c r="A685" s="5" t="s">
        <v>58</v>
      </c>
      <c r="B685" s="6">
        <v>625</v>
      </c>
      <c r="C685" s="7" t="str" cm="1">
        <f t="array" ref="C685">_xlfn.IFS(B685 &lt;= 567, "Cheap", B685 &lt;= 1033, "Medium", TRUE, "Higher")</f>
        <v>Medium</v>
      </c>
    </row>
    <row r="686" spans="1:3" x14ac:dyDescent="0.25">
      <c r="A686" s="5" t="s">
        <v>58</v>
      </c>
      <c r="B686" s="6">
        <v>628</v>
      </c>
      <c r="C686" s="7" t="str" cm="1">
        <f t="array" ref="C686">_xlfn.IFS(B686 &lt;= 567, "Cheap", B686 &lt;= 1033, "Medium", TRUE, "Higher")</f>
        <v>Medium</v>
      </c>
    </row>
    <row r="687" spans="1:3" x14ac:dyDescent="0.25">
      <c r="A687" s="5" t="s">
        <v>58</v>
      </c>
      <c r="B687" s="6">
        <v>633</v>
      </c>
      <c r="C687" s="7" t="str" cm="1">
        <f t="array" ref="C687">_xlfn.IFS(B687 &lt;= 567, "Cheap", B687 &lt;= 1033, "Medium", TRUE, "Higher")</f>
        <v>Medium</v>
      </c>
    </row>
    <row r="688" spans="1:3" x14ac:dyDescent="0.25">
      <c r="A688" s="5" t="s">
        <v>58</v>
      </c>
      <c r="B688" s="6">
        <v>646</v>
      </c>
      <c r="C688" s="7" t="str" cm="1">
        <f t="array" ref="C688">_xlfn.IFS(B688 &lt;= 567, "Cheap", B688 &lt;= 1033, "Medium", TRUE, "Higher")</f>
        <v>Medium</v>
      </c>
    </row>
    <row r="689" spans="1:3" x14ac:dyDescent="0.25">
      <c r="A689" s="5" t="s">
        <v>58</v>
      </c>
      <c r="B689" s="6">
        <v>661</v>
      </c>
      <c r="C689" s="7" t="str" cm="1">
        <f t="array" ref="C689">_xlfn.IFS(B689 &lt;= 567, "Cheap", B689 &lt;= 1033, "Medium", TRUE, "Higher")</f>
        <v>Medium</v>
      </c>
    </row>
    <row r="690" spans="1:3" x14ac:dyDescent="0.25">
      <c r="A690" s="5" t="s">
        <v>58</v>
      </c>
      <c r="B690" s="6">
        <v>703</v>
      </c>
      <c r="C690" s="7" t="str" cm="1">
        <f t="array" ref="C690">_xlfn.IFS(B690 &lt;= 567, "Cheap", B690 &lt;= 1033, "Medium", TRUE, "Higher")</f>
        <v>Medium</v>
      </c>
    </row>
    <row r="691" spans="1:3" x14ac:dyDescent="0.25">
      <c r="A691" s="5" t="s">
        <v>58</v>
      </c>
      <c r="B691" s="6">
        <v>706</v>
      </c>
      <c r="C691" s="7" t="str" cm="1">
        <f t="array" ref="C691">_xlfn.IFS(B691 &lt;= 567, "Cheap", B691 &lt;= 1033, "Medium", TRUE, "Higher")</f>
        <v>Medium</v>
      </c>
    </row>
    <row r="692" spans="1:3" x14ac:dyDescent="0.25">
      <c r="A692" s="5" t="s">
        <v>58</v>
      </c>
      <c r="B692" s="6">
        <v>715</v>
      </c>
      <c r="C692" s="7" t="str" cm="1">
        <f t="array" ref="C692">_xlfn.IFS(B692 &lt;= 567, "Cheap", B692 &lt;= 1033, "Medium", TRUE, "Higher")</f>
        <v>Medium</v>
      </c>
    </row>
    <row r="693" spans="1:3" x14ac:dyDescent="0.25">
      <c r="A693" s="5" t="s">
        <v>58</v>
      </c>
      <c r="B693" s="6">
        <v>715</v>
      </c>
      <c r="C693" s="7" t="str" cm="1">
        <f t="array" ref="C693">_xlfn.IFS(B693 &lt;= 567, "Cheap", B693 &lt;= 1033, "Medium", TRUE, "Higher")</f>
        <v>Medium</v>
      </c>
    </row>
    <row r="694" spans="1:3" x14ac:dyDescent="0.25">
      <c r="A694" s="5" t="s">
        <v>58</v>
      </c>
      <c r="B694" s="6">
        <v>727</v>
      </c>
      <c r="C694" s="7" t="str" cm="1">
        <f t="array" ref="C694">_xlfn.IFS(B694 &lt;= 567, "Cheap", B694 &lt;= 1033, "Medium", TRUE, "Higher")</f>
        <v>Medium</v>
      </c>
    </row>
    <row r="695" spans="1:3" x14ac:dyDescent="0.25">
      <c r="A695" s="5" t="s">
        <v>58</v>
      </c>
      <c r="B695" s="6">
        <v>727</v>
      </c>
      <c r="C695" s="7" t="str" cm="1">
        <f t="array" ref="C695">_xlfn.IFS(B695 &lt;= 567, "Cheap", B695 &lt;= 1033, "Medium", TRUE, "Higher")</f>
        <v>Medium</v>
      </c>
    </row>
    <row r="696" spans="1:3" x14ac:dyDescent="0.25">
      <c r="A696" s="5" t="s">
        <v>58</v>
      </c>
      <c r="B696" s="6">
        <v>731</v>
      </c>
      <c r="C696" s="7" t="str" cm="1">
        <f t="array" ref="C696">_xlfn.IFS(B696 &lt;= 567, "Cheap", B696 &lt;= 1033, "Medium", TRUE, "Higher")</f>
        <v>Medium</v>
      </c>
    </row>
    <row r="697" spans="1:3" x14ac:dyDescent="0.25">
      <c r="A697" s="5" t="s">
        <v>58</v>
      </c>
      <c r="B697" s="6">
        <v>736</v>
      </c>
      <c r="C697" s="7" t="str" cm="1">
        <f t="array" ref="C697">_xlfn.IFS(B697 &lt;= 567, "Cheap", B697 &lt;= 1033, "Medium", TRUE, "Higher")</f>
        <v>Medium</v>
      </c>
    </row>
    <row r="698" spans="1:3" x14ac:dyDescent="0.25">
      <c r="A698" s="5" t="s">
        <v>58</v>
      </c>
      <c r="B698" s="6">
        <v>761</v>
      </c>
      <c r="C698" s="7" t="str" cm="1">
        <f t="array" ref="C698">_xlfn.IFS(B698 &lt;= 567, "Cheap", B698 &lt;= 1033, "Medium", TRUE, "Higher")</f>
        <v>Medium</v>
      </c>
    </row>
    <row r="699" spans="1:3" x14ac:dyDescent="0.25">
      <c r="A699" s="5" t="s">
        <v>58</v>
      </c>
      <c r="B699" s="6">
        <v>768</v>
      </c>
      <c r="C699" s="7" t="str" cm="1">
        <f t="array" ref="C699">_xlfn.IFS(B699 &lt;= 567, "Cheap", B699 &lt;= 1033, "Medium", TRUE, "Higher")</f>
        <v>Medium</v>
      </c>
    </row>
    <row r="700" spans="1:3" x14ac:dyDescent="0.25">
      <c r="A700" s="5" t="s">
        <v>58</v>
      </c>
      <c r="B700" s="6">
        <v>790</v>
      </c>
      <c r="C700" s="7" t="str" cm="1">
        <f t="array" ref="C700">_xlfn.IFS(B700 &lt;= 567, "Cheap", B700 &lt;= 1033, "Medium", TRUE, "Higher")</f>
        <v>Medium</v>
      </c>
    </row>
    <row r="701" spans="1:3" x14ac:dyDescent="0.25">
      <c r="A701" s="5" t="s">
        <v>52</v>
      </c>
      <c r="B701" s="6">
        <v>604</v>
      </c>
      <c r="C701" s="7" t="str" cm="1">
        <f t="array" ref="C701">_xlfn.IFS(B701 &lt;= 567, "Cheap", B701 &lt;= 1033, "Medium", TRUE, "Higher")</f>
        <v>Medium</v>
      </c>
    </row>
    <row r="702" spans="1:3" x14ac:dyDescent="0.25">
      <c r="A702" s="5" t="s">
        <v>52</v>
      </c>
      <c r="B702" s="6">
        <v>607</v>
      </c>
      <c r="C702" s="7" t="str" cm="1">
        <f t="array" ref="C702">_xlfn.IFS(B702 &lt;= 567, "Cheap", B702 &lt;= 1033, "Medium", TRUE, "Higher")</f>
        <v>Medium</v>
      </c>
    </row>
    <row r="703" spans="1:3" x14ac:dyDescent="0.25">
      <c r="A703" s="5" t="s">
        <v>52</v>
      </c>
      <c r="B703" s="6">
        <v>653</v>
      </c>
      <c r="C703" s="7" t="str" cm="1">
        <f t="array" ref="C703">_xlfn.IFS(B703 &lt;= 567, "Cheap", B703 &lt;= 1033, "Medium", TRUE, "Higher")</f>
        <v>Medium</v>
      </c>
    </row>
    <row r="704" spans="1:3" x14ac:dyDescent="0.25">
      <c r="A704" s="5" t="s">
        <v>52</v>
      </c>
      <c r="B704" s="6">
        <v>658</v>
      </c>
      <c r="C704" s="7" t="str" cm="1">
        <f t="array" ref="C704">_xlfn.IFS(B704 &lt;= 567, "Cheap", B704 &lt;= 1033, "Medium", TRUE, "Higher")</f>
        <v>Medium</v>
      </c>
    </row>
    <row r="705" spans="1:3" x14ac:dyDescent="0.25">
      <c r="A705" s="5" t="s">
        <v>52</v>
      </c>
      <c r="B705" s="6">
        <v>660</v>
      </c>
      <c r="C705" s="7" t="str" cm="1">
        <f t="array" ref="C705">_xlfn.IFS(B705 &lt;= 567, "Cheap", B705 &lt;= 1033, "Medium", TRUE, "Higher")</f>
        <v>Medium</v>
      </c>
    </row>
    <row r="706" spans="1:3" x14ac:dyDescent="0.25">
      <c r="A706" s="5" t="s">
        <v>52</v>
      </c>
      <c r="B706" s="6">
        <v>662</v>
      </c>
      <c r="C706" s="7" t="str" cm="1">
        <f t="array" ref="C706">_xlfn.IFS(B706 &lt;= 567, "Cheap", B706 &lt;= 1033, "Medium", TRUE, "Higher")</f>
        <v>Medium</v>
      </c>
    </row>
    <row r="707" spans="1:3" x14ac:dyDescent="0.25">
      <c r="A707" s="5" t="s">
        <v>52</v>
      </c>
      <c r="B707" s="6">
        <v>664</v>
      </c>
      <c r="C707" s="7" t="str" cm="1">
        <f t="array" ref="C707">_xlfn.IFS(B707 &lt;= 567, "Cheap", B707 &lt;= 1033, "Medium", TRUE, "Higher")</f>
        <v>Medium</v>
      </c>
    </row>
    <row r="708" spans="1:3" x14ac:dyDescent="0.25">
      <c r="A708" s="5" t="s">
        <v>52</v>
      </c>
      <c r="B708" s="6">
        <v>670</v>
      </c>
      <c r="C708" s="7" t="str" cm="1">
        <f t="array" ref="C708">_xlfn.IFS(B708 &lt;= 567, "Cheap", B708 &lt;= 1033, "Medium", TRUE, "Higher")</f>
        <v>Medium</v>
      </c>
    </row>
    <row r="709" spans="1:3" x14ac:dyDescent="0.25">
      <c r="A709" s="5" t="s">
        <v>52</v>
      </c>
      <c r="B709" s="6">
        <v>684</v>
      </c>
      <c r="C709" s="7" t="str" cm="1">
        <f t="array" ref="C709">_xlfn.IFS(B709 &lt;= 567, "Cheap", B709 &lt;= 1033, "Medium", TRUE, "Higher")</f>
        <v>Medium</v>
      </c>
    </row>
    <row r="710" spans="1:3" x14ac:dyDescent="0.25">
      <c r="A710" s="5" t="s">
        <v>52</v>
      </c>
      <c r="B710" s="6">
        <v>707</v>
      </c>
      <c r="C710" s="7" t="str" cm="1">
        <f t="array" ref="C710">_xlfn.IFS(B710 &lt;= 567, "Cheap", B710 &lt;= 1033, "Medium", TRUE, "Higher")</f>
        <v>Medium</v>
      </c>
    </row>
    <row r="711" spans="1:3" x14ac:dyDescent="0.25">
      <c r="A711" s="5" t="s">
        <v>52</v>
      </c>
      <c r="B711" s="6">
        <v>709</v>
      </c>
      <c r="C711" s="7" t="str" cm="1">
        <f t="array" ref="C711">_xlfn.IFS(B711 &lt;= 567, "Cheap", B711 &lt;= 1033, "Medium", TRUE, "Higher")</f>
        <v>Medium</v>
      </c>
    </row>
    <row r="712" spans="1:3" x14ac:dyDescent="0.25">
      <c r="A712" s="5" t="s">
        <v>52</v>
      </c>
      <c r="B712" s="6">
        <v>718</v>
      </c>
      <c r="C712" s="7" t="str" cm="1">
        <f t="array" ref="C712">_xlfn.IFS(B712 &lt;= 567, "Cheap", B712 &lt;= 1033, "Medium", TRUE, "Higher")</f>
        <v>Medium</v>
      </c>
    </row>
    <row r="713" spans="1:3" x14ac:dyDescent="0.25">
      <c r="A713" s="5" t="s">
        <v>52</v>
      </c>
      <c r="B713" s="6">
        <v>726</v>
      </c>
      <c r="C713" s="7" t="str" cm="1">
        <f t="array" ref="C713">_xlfn.IFS(B713 &lt;= 567, "Cheap", B713 &lt;= 1033, "Medium", TRUE, "Higher")</f>
        <v>Medium</v>
      </c>
    </row>
    <row r="714" spans="1:3" x14ac:dyDescent="0.25">
      <c r="A714" s="5" t="s">
        <v>52</v>
      </c>
      <c r="B714" s="6">
        <v>761</v>
      </c>
      <c r="C714" s="7" t="str" cm="1">
        <f t="array" ref="C714">_xlfn.IFS(B714 &lt;= 567, "Cheap", B714 &lt;= 1033, "Medium", TRUE, "Higher")</f>
        <v>Medium</v>
      </c>
    </row>
    <row r="715" spans="1:3" x14ac:dyDescent="0.25">
      <c r="A715" s="5" t="s">
        <v>52</v>
      </c>
      <c r="B715" s="6">
        <v>777</v>
      </c>
      <c r="C715" s="7" t="str" cm="1">
        <f t="array" ref="C715">_xlfn.IFS(B715 &lt;= 567, "Cheap", B715 &lt;= 1033, "Medium", TRUE, "Higher")</f>
        <v>Medium</v>
      </c>
    </row>
    <row r="716" spans="1:3" x14ac:dyDescent="0.25">
      <c r="A716" s="5" t="s">
        <v>52</v>
      </c>
      <c r="B716" s="6">
        <v>788</v>
      </c>
      <c r="C716" s="7" t="str" cm="1">
        <f t="array" ref="C716">_xlfn.IFS(B716 &lt;= 567, "Cheap", B716 &lt;= 1033, "Medium", TRUE, "Higher")</f>
        <v>Medium</v>
      </c>
    </row>
    <row r="717" spans="1:3" x14ac:dyDescent="0.25">
      <c r="A717" s="5" t="s">
        <v>52</v>
      </c>
      <c r="B717" s="6">
        <v>789</v>
      </c>
      <c r="C717" s="7" t="str" cm="1">
        <f t="array" ref="C717">_xlfn.IFS(B717 &lt;= 567, "Cheap", B717 &lt;= 1033, "Medium", TRUE, "Higher")</f>
        <v>Medium</v>
      </c>
    </row>
    <row r="718" spans="1:3" x14ac:dyDescent="0.25">
      <c r="A718" s="5" t="s">
        <v>24</v>
      </c>
      <c r="B718" s="6">
        <v>586</v>
      </c>
      <c r="C718" s="7" t="str" cm="1">
        <f t="array" ref="C718">_xlfn.IFS(B718 &lt;= 567, "Cheap", B718 &lt;= 1033, "Medium", TRUE, "Higher")</f>
        <v>Medium</v>
      </c>
    </row>
    <row r="719" spans="1:3" x14ac:dyDescent="0.25">
      <c r="A719" s="5" t="s">
        <v>24</v>
      </c>
      <c r="B719" s="6">
        <v>596</v>
      </c>
      <c r="C719" s="7" t="str" cm="1">
        <f t="array" ref="C719">_xlfn.IFS(B719 &lt;= 567, "Cheap", B719 &lt;= 1033, "Medium", TRUE, "Higher")</f>
        <v>Medium</v>
      </c>
    </row>
    <row r="720" spans="1:3" x14ac:dyDescent="0.25">
      <c r="A720" s="5" t="s">
        <v>24</v>
      </c>
      <c r="B720" s="6">
        <v>613</v>
      </c>
      <c r="C720" s="7" t="str" cm="1">
        <f t="array" ref="C720">_xlfn.IFS(B720 &lt;= 567, "Cheap", B720 &lt;= 1033, "Medium", TRUE, "Higher")</f>
        <v>Medium</v>
      </c>
    </row>
    <row r="721" spans="1:3" x14ac:dyDescent="0.25">
      <c r="A721" s="5" t="s">
        <v>24</v>
      </c>
      <c r="B721" s="6">
        <v>627</v>
      </c>
      <c r="C721" s="7" t="str" cm="1">
        <f t="array" ref="C721">_xlfn.IFS(B721 &lt;= 567, "Cheap", B721 &lt;= 1033, "Medium", TRUE, "Higher")</f>
        <v>Medium</v>
      </c>
    </row>
    <row r="722" spans="1:3" x14ac:dyDescent="0.25">
      <c r="A722" s="5" t="s">
        <v>24</v>
      </c>
      <c r="B722" s="6">
        <v>637</v>
      </c>
      <c r="C722" s="7" t="str" cm="1">
        <f t="array" ref="C722">_xlfn.IFS(B722 &lt;= 567, "Cheap", B722 &lt;= 1033, "Medium", TRUE, "Higher")</f>
        <v>Medium</v>
      </c>
    </row>
    <row r="723" spans="1:3" x14ac:dyDescent="0.25">
      <c r="A723" s="5" t="s">
        <v>24</v>
      </c>
      <c r="B723" s="6">
        <v>639</v>
      </c>
      <c r="C723" s="7" t="str" cm="1">
        <f t="array" ref="C723">_xlfn.IFS(B723 &lt;= 567, "Cheap", B723 &lt;= 1033, "Medium", TRUE, "Higher")</f>
        <v>Medium</v>
      </c>
    </row>
    <row r="724" spans="1:3" x14ac:dyDescent="0.25">
      <c r="A724" s="5" t="s">
        <v>24</v>
      </c>
      <c r="B724" s="6">
        <v>646</v>
      </c>
      <c r="C724" s="7" t="str" cm="1">
        <f t="array" ref="C724">_xlfn.IFS(B724 &lt;= 567, "Cheap", B724 &lt;= 1033, "Medium", TRUE, "Higher")</f>
        <v>Medium</v>
      </c>
    </row>
    <row r="725" spans="1:3" x14ac:dyDescent="0.25">
      <c r="A725" s="5" t="s">
        <v>24</v>
      </c>
      <c r="B725" s="6">
        <v>650</v>
      </c>
      <c r="C725" s="7" t="str" cm="1">
        <f t="array" ref="C725">_xlfn.IFS(B725 &lt;= 567, "Cheap", B725 &lt;= 1033, "Medium", TRUE, "Higher")</f>
        <v>Medium</v>
      </c>
    </row>
    <row r="726" spans="1:3" x14ac:dyDescent="0.25">
      <c r="A726" s="5" t="s">
        <v>24</v>
      </c>
      <c r="B726" s="6">
        <v>666</v>
      </c>
      <c r="C726" s="7" t="str" cm="1">
        <f t="array" ref="C726">_xlfn.IFS(B726 &lt;= 567, "Cheap", B726 &lt;= 1033, "Medium", TRUE, "Higher")</f>
        <v>Medium</v>
      </c>
    </row>
    <row r="727" spans="1:3" x14ac:dyDescent="0.25">
      <c r="A727" s="5" t="s">
        <v>24</v>
      </c>
      <c r="B727" s="6">
        <v>688</v>
      </c>
      <c r="C727" s="7" t="str" cm="1">
        <f t="array" ref="C727">_xlfn.IFS(B727 &lt;= 567, "Cheap", B727 &lt;= 1033, "Medium", TRUE, "Higher")</f>
        <v>Medium</v>
      </c>
    </row>
    <row r="728" spans="1:3" x14ac:dyDescent="0.25">
      <c r="A728" s="5" t="s">
        <v>24</v>
      </c>
      <c r="B728" s="6">
        <v>689</v>
      </c>
      <c r="C728" s="7" t="str" cm="1">
        <f t="array" ref="C728">_xlfn.IFS(B728 &lt;= 567, "Cheap", B728 &lt;= 1033, "Medium", TRUE, "Higher")</f>
        <v>Medium</v>
      </c>
    </row>
    <row r="729" spans="1:3" x14ac:dyDescent="0.25">
      <c r="A729" s="5" t="s">
        <v>24</v>
      </c>
      <c r="B729" s="6">
        <v>724</v>
      </c>
      <c r="C729" s="7" t="str" cm="1">
        <f t="array" ref="C729">_xlfn.IFS(B729 &lt;= 567, "Cheap", B729 &lt;= 1033, "Medium", TRUE, "Higher")</f>
        <v>Medium</v>
      </c>
    </row>
    <row r="730" spans="1:3" x14ac:dyDescent="0.25">
      <c r="A730" s="5" t="s">
        <v>24</v>
      </c>
      <c r="B730" s="6">
        <v>732</v>
      </c>
      <c r="C730" s="7" t="str" cm="1">
        <f t="array" ref="C730">_xlfn.IFS(B730 &lt;= 567, "Cheap", B730 &lt;= 1033, "Medium", TRUE, "Higher")</f>
        <v>Medium</v>
      </c>
    </row>
    <row r="731" spans="1:3" x14ac:dyDescent="0.25">
      <c r="A731" s="5" t="s">
        <v>24</v>
      </c>
      <c r="B731" s="6">
        <v>736</v>
      </c>
      <c r="C731" s="7" t="str" cm="1">
        <f t="array" ref="C731">_xlfn.IFS(B731 &lt;= 567, "Cheap", B731 &lt;= 1033, "Medium", TRUE, "Higher")</f>
        <v>Medium</v>
      </c>
    </row>
    <row r="732" spans="1:3" x14ac:dyDescent="0.25">
      <c r="A732" s="5" t="s">
        <v>24</v>
      </c>
      <c r="B732" s="6">
        <v>738</v>
      </c>
      <c r="C732" s="7" t="str" cm="1">
        <f t="array" ref="C732">_xlfn.IFS(B732 &lt;= 567, "Cheap", B732 &lt;= 1033, "Medium", TRUE, "Higher")</f>
        <v>Medium</v>
      </c>
    </row>
    <row r="733" spans="1:3" x14ac:dyDescent="0.25">
      <c r="A733" s="5" t="s">
        <v>24</v>
      </c>
      <c r="B733" s="6">
        <v>743</v>
      </c>
      <c r="C733" s="7" t="str" cm="1">
        <f t="array" ref="C733">_xlfn.IFS(B733 &lt;= 567, "Cheap", B733 &lt;= 1033, "Medium", TRUE, "Higher")</f>
        <v>Medium</v>
      </c>
    </row>
    <row r="734" spans="1:3" x14ac:dyDescent="0.25">
      <c r="A734" s="5" t="s">
        <v>24</v>
      </c>
      <c r="B734" s="6">
        <v>768</v>
      </c>
      <c r="C734" s="7" t="str" cm="1">
        <f t="array" ref="C734">_xlfn.IFS(B734 &lt;= 567, "Cheap", B734 &lt;= 1033, "Medium", TRUE, "Higher")</f>
        <v>Medium</v>
      </c>
    </row>
    <row r="735" spans="1:3" x14ac:dyDescent="0.25">
      <c r="A735" s="5" t="s">
        <v>24</v>
      </c>
      <c r="B735" s="6">
        <v>773</v>
      </c>
      <c r="C735" s="7" t="str" cm="1">
        <f t="array" ref="C735">_xlfn.IFS(B735 &lt;= 567, "Cheap", B735 &lt;= 1033, "Medium", TRUE, "Higher")</f>
        <v>Medium</v>
      </c>
    </row>
    <row r="736" spans="1:3" x14ac:dyDescent="0.25">
      <c r="A736" s="5" t="s">
        <v>24</v>
      </c>
      <c r="B736" s="6">
        <v>777</v>
      </c>
      <c r="C736" s="7" t="str" cm="1">
        <f t="array" ref="C736">_xlfn.IFS(B736 &lt;= 567, "Cheap", B736 &lt;= 1033, "Medium", TRUE, "Higher")</f>
        <v>Medium</v>
      </c>
    </row>
    <row r="737" spans="1:3" x14ac:dyDescent="0.25">
      <c r="A737" s="5" t="s">
        <v>47</v>
      </c>
      <c r="B737" s="6">
        <v>600</v>
      </c>
      <c r="C737" s="7" t="str" cm="1">
        <f t="array" ref="C737">_xlfn.IFS(B737 &lt;= 567, "Cheap", B737 &lt;= 1033, "Medium", TRUE, "Higher")</f>
        <v>Medium</v>
      </c>
    </row>
    <row r="738" spans="1:3" x14ac:dyDescent="0.25">
      <c r="A738" s="5" t="s">
        <v>47</v>
      </c>
      <c r="B738" s="6">
        <v>609</v>
      </c>
      <c r="C738" s="7" t="str" cm="1">
        <f t="array" ref="C738">_xlfn.IFS(B738 &lt;= 567, "Cheap", B738 &lt;= 1033, "Medium", TRUE, "Higher")</f>
        <v>Medium</v>
      </c>
    </row>
    <row r="739" spans="1:3" x14ac:dyDescent="0.25">
      <c r="A739" s="5" t="s">
        <v>47</v>
      </c>
      <c r="B739" s="6">
        <v>610</v>
      </c>
      <c r="C739" s="7" t="str" cm="1">
        <f t="array" ref="C739">_xlfn.IFS(B739 &lt;= 567, "Cheap", B739 &lt;= 1033, "Medium", TRUE, "Higher")</f>
        <v>Medium</v>
      </c>
    </row>
    <row r="740" spans="1:3" x14ac:dyDescent="0.25">
      <c r="A740" s="5" t="s">
        <v>47</v>
      </c>
      <c r="B740" s="6">
        <v>627</v>
      </c>
      <c r="C740" s="7" t="str" cm="1">
        <f t="array" ref="C740">_xlfn.IFS(B740 &lt;= 567, "Cheap", B740 &lt;= 1033, "Medium", TRUE, "Higher")</f>
        <v>Medium</v>
      </c>
    </row>
    <row r="741" spans="1:3" x14ac:dyDescent="0.25">
      <c r="A741" s="5" t="s">
        <v>47</v>
      </c>
      <c r="B741" s="6">
        <v>628</v>
      </c>
      <c r="C741" s="7" t="str" cm="1">
        <f t="array" ref="C741">_xlfn.IFS(B741 &lt;= 567, "Cheap", B741 &lt;= 1033, "Medium", TRUE, "Higher")</f>
        <v>Medium</v>
      </c>
    </row>
    <row r="742" spans="1:3" x14ac:dyDescent="0.25">
      <c r="A742" s="5" t="s">
        <v>47</v>
      </c>
      <c r="B742" s="6">
        <v>637</v>
      </c>
      <c r="C742" s="7" t="str" cm="1">
        <f t="array" ref="C742">_xlfn.IFS(B742 &lt;= 567, "Cheap", B742 &lt;= 1033, "Medium", TRUE, "Higher")</f>
        <v>Medium</v>
      </c>
    </row>
    <row r="743" spans="1:3" x14ac:dyDescent="0.25">
      <c r="A743" s="5" t="s">
        <v>47</v>
      </c>
      <c r="B743" s="6">
        <v>642</v>
      </c>
      <c r="C743" s="7" t="str" cm="1">
        <f t="array" ref="C743">_xlfn.IFS(B743 &lt;= 567, "Cheap", B743 &lt;= 1033, "Medium", TRUE, "Higher")</f>
        <v>Medium</v>
      </c>
    </row>
    <row r="744" spans="1:3" x14ac:dyDescent="0.25">
      <c r="A744" s="5" t="s">
        <v>47</v>
      </c>
      <c r="B744" s="6">
        <v>644</v>
      </c>
      <c r="C744" s="7" t="str" cm="1">
        <f t="array" ref="C744">_xlfn.IFS(B744 &lt;= 567, "Cheap", B744 &lt;= 1033, "Medium", TRUE, "Higher")</f>
        <v>Medium</v>
      </c>
    </row>
    <row r="745" spans="1:3" x14ac:dyDescent="0.25">
      <c r="A745" s="5" t="s">
        <v>47</v>
      </c>
      <c r="B745" s="6">
        <v>648</v>
      </c>
      <c r="C745" s="7" t="str" cm="1">
        <f t="array" ref="C745">_xlfn.IFS(B745 &lt;= 567, "Cheap", B745 &lt;= 1033, "Medium", TRUE, "Higher")</f>
        <v>Medium</v>
      </c>
    </row>
    <row r="746" spans="1:3" x14ac:dyDescent="0.25">
      <c r="A746" s="5" t="s">
        <v>47</v>
      </c>
      <c r="B746" s="6">
        <v>665</v>
      </c>
      <c r="C746" s="7" t="str" cm="1">
        <f t="array" ref="C746">_xlfn.IFS(B746 &lt;= 567, "Cheap", B746 &lt;= 1033, "Medium", TRUE, "Higher")</f>
        <v>Medium</v>
      </c>
    </row>
    <row r="747" spans="1:3" x14ac:dyDescent="0.25">
      <c r="A747" s="5" t="s">
        <v>47</v>
      </c>
      <c r="B747" s="6">
        <v>679</v>
      </c>
      <c r="C747" s="7" t="str" cm="1">
        <f t="array" ref="C747">_xlfn.IFS(B747 &lt;= 567, "Cheap", B747 &lt;= 1033, "Medium", TRUE, "Higher")</f>
        <v>Medium</v>
      </c>
    </row>
    <row r="748" spans="1:3" x14ac:dyDescent="0.25">
      <c r="A748" s="5" t="s">
        <v>47</v>
      </c>
      <c r="B748" s="6">
        <v>698</v>
      </c>
      <c r="C748" s="7" t="str" cm="1">
        <f t="array" ref="C748">_xlfn.IFS(B748 &lt;= 567, "Cheap", B748 &lt;= 1033, "Medium", TRUE, "Higher")</f>
        <v>Medium</v>
      </c>
    </row>
    <row r="749" spans="1:3" x14ac:dyDescent="0.25">
      <c r="A749" s="5" t="s">
        <v>47</v>
      </c>
      <c r="B749" s="6">
        <v>701</v>
      </c>
      <c r="C749" s="7" t="str" cm="1">
        <f t="array" ref="C749">_xlfn.IFS(B749 &lt;= 567, "Cheap", B749 &lt;= 1033, "Medium", TRUE, "Higher")</f>
        <v>Medium</v>
      </c>
    </row>
    <row r="750" spans="1:3" x14ac:dyDescent="0.25">
      <c r="A750" s="5" t="s">
        <v>47</v>
      </c>
      <c r="B750" s="6">
        <v>702</v>
      </c>
      <c r="C750" s="7" t="str" cm="1">
        <f t="array" ref="C750">_xlfn.IFS(B750 &lt;= 567, "Cheap", B750 &lt;= 1033, "Medium", TRUE, "Higher")</f>
        <v>Medium</v>
      </c>
    </row>
    <row r="751" spans="1:3" x14ac:dyDescent="0.25">
      <c r="A751" s="5" t="s">
        <v>47</v>
      </c>
      <c r="B751" s="6">
        <v>706</v>
      </c>
      <c r="C751" s="7" t="str" cm="1">
        <f t="array" ref="C751">_xlfn.IFS(B751 &lt;= 567, "Cheap", B751 &lt;= 1033, "Medium", TRUE, "Higher")</f>
        <v>Medium</v>
      </c>
    </row>
    <row r="752" spans="1:3" x14ac:dyDescent="0.25">
      <c r="A752" s="5" t="s">
        <v>47</v>
      </c>
      <c r="B752" s="6">
        <v>721</v>
      </c>
      <c r="C752" s="7" t="str" cm="1">
        <f t="array" ref="C752">_xlfn.IFS(B752 &lt;= 567, "Cheap", B752 &lt;= 1033, "Medium", TRUE, "Higher")</f>
        <v>Medium</v>
      </c>
    </row>
    <row r="753" spans="1:3" x14ac:dyDescent="0.25">
      <c r="A753" s="5" t="s">
        <v>47</v>
      </c>
      <c r="B753" s="6">
        <v>724</v>
      </c>
      <c r="C753" s="7" t="str" cm="1">
        <f t="array" ref="C753">_xlfn.IFS(B753 &lt;= 567, "Cheap", B753 &lt;= 1033, "Medium", TRUE, "Higher")</f>
        <v>Medium</v>
      </c>
    </row>
    <row r="754" spans="1:3" x14ac:dyDescent="0.25">
      <c r="A754" s="5" t="s">
        <v>47</v>
      </c>
      <c r="B754" s="6">
        <v>724</v>
      </c>
      <c r="C754" s="7" t="str" cm="1">
        <f t="array" ref="C754">_xlfn.IFS(B754 &lt;= 567, "Cheap", B754 &lt;= 1033, "Medium", TRUE, "Higher")</f>
        <v>Medium</v>
      </c>
    </row>
    <row r="755" spans="1:3" x14ac:dyDescent="0.25">
      <c r="A755" s="5" t="s">
        <v>47</v>
      </c>
      <c r="B755" s="6">
        <v>727</v>
      </c>
      <c r="C755" s="7" t="str" cm="1">
        <f t="array" ref="C755">_xlfn.IFS(B755 &lt;= 567, "Cheap", B755 &lt;= 1033, "Medium", TRUE, "Higher")</f>
        <v>Medium</v>
      </c>
    </row>
    <row r="756" spans="1:3" x14ac:dyDescent="0.25">
      <c r="A756" s="5" t="s">
        <v>47</v>
      </c>
      <c r="B756" s="6">
        <v>731</v>
      </c>
      <c r="C756" s="7" t="str" cm="1">
        <f t="array" ref="C756">_xlfn.IFS(B756 &lt;= 567, "Cheap", B756 &lt;= 1033, "Medium", TRUE, "Higher")</f>
        <v>Medium</v>
      </c>
    </row>
    <row r="757" spans="1:3" x14ac:dyDescent="0.25">
      <c r="A757" s="5" t="s">
        <v>16</v>
      </c>
      <c r="B757" s="6">
        <v>581</v>
      </c>
      <c r="C757" s="7" t="str" cm="1">
        <f t="array" ref="C757">_xlfn.IFS(B757 &lt;= 567, "Cheap", B757 &lt;= 1033, "Medium", TRUE, "Higher")</f>
        <v>Medium</v>
      </c>
    </row>
    <row r="758" spans="1:3" x14ac:dyDescent="0.25">
      <c r="A758" s="5" t="s">
        <v>16</v>
      </c>
      <c r="B758" s="6">
        <v>584</v>
      </c>
      <c r="C758" s="7" t="str" cm="1">
        <f t="array" ref="C758">_xlfn.IFS(B758 &lt;= 567, "Cheap", B758 &lt;= 1033, "Medium", TRUE, "Higher")</f>
        <v>Medium</v>
      </c>
    </row>
    <row r="759" spans="1:3" x14ac:dyDescent="0.25">
      <c r="A759" s="5" t="s">
        <v>16</v>
      </c>
      <c r="B759" s="6">
        <v>627</v>
      </c>
      <c r="C759" s="7" t="str" cm="1">
        <f t="array" ref="C759">_xlfn.IFS(B759 &lt;= 567, "Cheap", B759 &lt;= 1033, "Medium", TRUE, "Higher")</f>
        <v>Medium</v>
      </c>
    </row>
    <row r="760" spans="1:3" x14ac:dyDescent="0.25">
      <c r="A760" s="5" t="s">
        <v>16</v>
      </c>
      <c r="B760" s="6">
        <v>635</v>
      </c>
      <c r="C760" s="7" t="str" cm="1">
        <f t="array" ref="C760">_xlfn.IFS(B760 &lt;= 567, "Cheap", B760 &lt;= 1033, "Medium", TRUE, "Higher")</f>
        <v>Medium</v>
      </c>
    </row>
    <row r="761" spans="1:3" x14ac:dyDescent="0.25">
      <c r="A761" s="5" t="s">
        <v>16</v>
      </c>
      <c r="B761" s="6">
        <v>661</v>
      </c>
      <c r="C761" s="7" t="str" cm="1">
        <f t="array" ref="C761">_xlfn.IFS(B761 &lt;= 567, "Cheap", B761 &lt;= 1033, "Medium", TRUE, "Higher")</f>
        <v>Medium</v>
      </c>
    </row>
    <row r="762" spans="1:3" x14ac:dyDescent="0.25">
      <c r="A762" s="5" t="s">
        <v>16</v>
      </c>
      <c r="B762" s="6">
        <v>672</v>
      </c>
      <c r="C762" s="7" t="str" cm="1">
        <f t="array" ref="C762">_xlfn.IFS(B762 &lt;= 567, "Cheap", B762 &lt;= 1033, "Medium", TRUE, "Higher")</f>
        <v>Medium</v>
      </c>
    </row>
    <row r="763" spans="1:3" x14ac:dyDescent="0.25">
      <c r="A763" s="5" t="s">
        <v>16</v>
      </c>
      <c r="B763" s="6">
        <v>681</v>
      </c>
      <c r="C763" s="7" t="str" cm="1">
        <f t="array" ref="C763">_xlfn.IFS(B763 &lt;= 567, "Cheap", B763 &lt;= 1033, "Medium", TRUE, "Higher")</f>
        <v>Medium</v>
      </c>
    </row>
    <row r="764" spans="1:3" x14ac:dyDescent="0.25">
      <c r="A764" s="5" t="s">
        <v>16</v>
      </c>
      <c r="B764" s="6">
        <v>682</v>
      </c>
      <c r="C764" s="7" t="str" cm="1">
        <f t="array" ref="C764">_xlfn.IFS(B764 &lt;= 567, "Cheap", B764 &lt;= 1033, "Medium", TRUE, "Higher")</f>
        <v>Medium</v>
      </c>
    </row>
    <row r="765" spans="1:3" x14ac:dyDescent="0.25">
      <c r="A765" s="5" t="s">
        <v>16</v>
      </c>
      <c r="B765" s="6">
        <v>691</v>
      </c>
      <c r="C765" s="7" t="str" cm="1">
        <f t="array" ref="C765">_xlfn.IFS(B765 &lt;= 567, "Cheap", B765 &lt;= 1033, "Medium", TRUE, "Higher")</f>
        <v>Medium</v>
      </c>
    </row>
    <row r="766" spans="1:3" x14ac:dyDescent="0.25">
      <c r="A766" s="5" t="s">
        <v>16</v>
      </c>
      <c r="B766" s="6">
        <v>691</v>
      </c>
      <c r="C766" s="7" t="str" cm="1">
        <f t="array" ref="C766">_xlfn.IFS(B766 &lt;= 567, "Cheap", B766 &lt;= 1033, "Medium", TRUE, "Higher")</f>
        <v>Medium</v>
      </c>
    </row>
    <row r="767" spans="1:3" x14ac:dyDescent="0.25">
      <c r="A767" s="5" t="s">
        <v>16</v>
      </c>
      <c r="B767" s="6">
        <v>695</v>
      </c>
      <c r="C767" s="7" t="str" cm="1">
        <f t="array" ref="C767">_xlfn.IFS(B767 &lt;= 567, "Cheap", B767 &lt;= 1033, "Medium", TRUE, "Higher")</f>
        <v>Medium</v>
      </c>
    </row>
    <row r="768" spans="1:3" x14ac:dyDescent="0.25">
      <c r="A768" s="5" t="s">
        <v>16</v>
      </c>
      <c r="B768" s="6">
        <v>711</v>
      </c>
      <c r="C768" s="7" t="str" cm="1">
        <f t="array" ref="C768">_xlfn.IFS(B768 &lt;= 567, "Cheap", B768 &lt;= 1033, "Medium", TRUE, "Higher")</f>
        <v>Medium</v>
      </c>
    </row>
    <row r="769" spans="1:3" x14ac:dyDescent="0.25">
      <c r="A769" s="5" t="s">
        <v>16</v>
      </c>
      <c r="B769" s="6">
        <v>717</v>
      </c>
      <c r="C769" s="7" t="str" cm="1">
        <f t="array" ref="C769">_xlfn.IFS(B769 &lt;= 567, "Cheap", B769 &lt;= 1033, "Medium", TRUE, "Higher")</f>
        <v>Medium</v>
      </c>
    </row>
    <row r="770" spans="1:3" x14ac:dyDescent="0.25">
      <c r="A770" s="5" t="s">
        <v>16</v>
      </c>
      <c r="B770" s="6">
        <v>718</v>
      </c>
      <c r="C770" s="7" t="str" cm="1">
        <f t="array" ref="C770">_xlfn.IFS(B770 &lt;= 567, "Cheap", B770 &lt;= 1033, "Medium", TRUE, "Higher")</f>
        <v>Medium</v>
      </c>
    </row>
    <row r="771" spans="1:3" x14ac:dyDescent="0.25">
      <c r="A771" s="5" t="s">
        <v>16</v>
      </c>
      <c r="B771" s="6">
        <v>730</v>
      </c>
      <c r="C771" s="7" t="str" cm="1">
        <f t="array" ref="C771">_xlfn.IFS(B771 &lt;= 567, "Cheap", B771 &lt;= 1033, "Medium", TRUE, "Higher")</f>
        <v>Medium</v>
      </c>
    </row>
    <row r="772" spans="1:3" x14ac:dyDescent="0.25">
      <c r="A772" s="5" t="s">
        <v>16</v>
      </c>
      <c r="B772" s="6">
        <v>760</v>
      </c>
      <c r="C772" s="7" t="str" cm="1">
        <f t="array" ref="C772">_xlfn.IFS(B772 &lt;= 567, "Cheap", B772 &lt;= 1033, "Medium", TRUE, "Higher")</f>
        <v>Medium</v>
      </c>
    </row>
    <row r="773" spans="1:3" x14ac:dyDescent="0.25">
      <c r="A773" s="5" t="s">
        <v>16</v>
      </c>
      <c r="B773" s="6">
        <v>770</v>
      </c>
      <c r="C773" s="7" t="str" cm="1">
        <f t="array" ref="C773">_xlfn.IFS(B773 &lt;= 567, "Cheap", B773 &lt;= 1033, "Medium", TRUE, "Higher")</f>
        <v>Medium</v>
      </c>
    </row>
    <row r="774" spans="1:3" x14ac:dyDescent="0.25">
      <c r="A774" s="5" t="s">
        <v>16</v>
      </c>
      <c r="B774" s="6">
        <v>785</v>
      </c>
      <c r="C774" s="7" t="str" cm="1">
        <f t="array" ref="C774">_xlfn.IFS(B774 &lt;= 567, "Cheap", B774 &lt;= 1033, "Medium", TRUE, "Higher")</f>
        <v>Medium</v>
      </c>
    </row>
    <row r="775" spans="1:3" x14ac:dyDescent="0.25">
      <c r="A775" s="5" t="s">
        <v>11</v>
      </c>
      <c r="B775" s="6">
        <v>618</v>
      </c>
      <c r="C775" s="7" t="str" cm="1">
        <f t="array" ref="C775">_xlfn.IFS(B775 &lt;= 567, "Cheap", B775 &lt;= 1033, "Medium", TRUE, "Higher")</f>
        <v>Medium</v>
      </c>
    </row>
    <row r="776" spans="1:3" x14ac:dyDescent="0.25">
      <c r="A776" s="5" t="s">
        <v>11</v>
      </c>
      <c r="B776" s="6">
        <v>627</v>
      </c>
      <c r="C776" s="7" t="str" cm="1">
        <f t="array" ref="C776">_xlfn.IFS(B776 &lt;= 567, "Cheap", B776 &lt;= 1033, "Medium", TRUE, "Higher")</f>
        <v>Medium</v>
      </c>
    </row>
    <row r="777" spans="1:3" x14ac:dyDescent="0.25">
      <c r="A777" s="5" t="s">
        <v>11</v>
      </c>
      <c r="B777" s="6">
        <v>629</v>
      </c>
      <c r="C777" s="7" t="str" cm="1">
        <f t="array" ref="C777">_xlfn.IFS(B777 &lt;= 567, "Cheap", B777 &lt;= 1033, "Medium", TRUE, "Higher")</f>
        <v>Medium</v>
      </c>
    </row>
    <row r="778" spans="1:3" x14ac:dyDescent="0.25">
      <c r="A778" s="5" t="s">
        <v>11</v>
      </c>
      <c r="B778" s="6">
        <v>631</v>
      </c>
      <c r="C778" s="7" t="str" cm="1">
        <f t="array" ref="C778">_xlfn.IFS(B778 &lt;= 567, "Cheap", B778 &lt;= 1033, "Medium", TRUE, "Higher")</f>
        <v>Medium</v>
      </c>
    </row>
    <row r="779" spans="1:3" x14ac:dyDescent="0.25">
      <c r="A779" s="5" t="s">
        <v>11</v>
      </c>
      <c r="B779" s="6">
        <v>634</v>
      </c>
      <c r="C779" s="7" t="str" cm="1">
        <f t="array" ref="C779">_xlfn.IFS(B779 &lt;= 567, "Cheap", B779 &lt;= 1033, "Medium", TRUE, "Higher")</f>
        <v>Medium</v>
      </c>
    </row>
    <row r="780" spans="1:3" x14ac:dyDescent="0.25">
      <c r="A780" s="5" t="s">
        <v>11</v>
      </c>
      <c r="B780" s="6">
        <v>714</v>
      </c>
      <c r="C780" s="7" t="str" cm="1">
        <f t="array" ref="C780">_xlfn.IFS(B780 &lt;= 567, "Cheap", B780 &lt;= 1033, "Medium", TRUE, "Higher")</f>
        <v>Medium</v>
      </c>
    </row>
    <row r="781" spans="1:3" x14ac:dyDescent="0.25">
      <c r="A781" s="5" t="s">
        <v>11</v>
      </c>
      <c r="B781" s="6">
        <v>723</v>
      </c>
      <c r="C781" s="7" t="str" cm="1">
        <f t="array" ref="C781">_xlfn.IFS(B781 &lt;= 567, "Cheap", B781 &lt;= 1033, "Medium", TRUE, "Higher")</f>
        <v>Medium</v>
      </c>
    </row>
    <row r="782" spans="1:3" x14ac:dyDescent="0.25">
      <c r="A782" s="5" t="s">
        <v>11</v>
      </c>
      <c r="B782" s="6">
        <v>738</v>
      </c>
      <c r="C782" s="7" t="str" cm="1">
        <f t="array" ref="C782">_xlfn.IFS(B782 &lt;= 567, "Cheap", B782 &lt;= 1033, "Medium", TRUE, "Higher")</f>
        <v>Medium</v>
      </c>
    </row>
    <row r="783" spans="1:3" x14ac:dyDescent="0.25">
      <c r="A783" s="5" t="s">
        <v>11</v>
      </c>
      <c r="B783" s="6">
        <v>752</v>
      </c>
      <c r="C783" s="7" t="str" cm="1">
        <f t="array" ref="C783">_xlfn.IFS(B783 &lt;= 567, "Cheap", B783 &lt;= 1033, "Medium", TRUE, "Higher")</f>
        <v>Medium</v>
      </c>
    </row>
    <row r="784" spans="1:3" x14ac:dyDescent="0.25">
      <c r="A784" s="5" t="s">
        <v>11</v>
      </c>
      <c r="B784" s="6">
        <v>779</v>
      </c>
      <c r="C784" s="7" t="str" cm="1">
        <f t="array" ref="C784">_xlfn.IFS(B784 &lt;= 567, "Cheap", B784 &lt;= 1033, "Medium", TRUE, "Higher")</f>
        <v>Medium</v>
      </c>
    </row>
    <row r="785" spans="1:3" x14ac:dyDescent="0.25">
      <c r="A785" s="5" t="s">
        <v>91</v>
      </c>
      <c r="B785" s="6">
        <v>568</v>
      </c>
      <c r="C785" s="7" t="str" cm="1">
        <f t="array" ref="C785">_xlfn.IFS(B785 &lt;= 567, "Cheap", B785 &lt;= 1033, "Medium", TRUE, "Higher")</f>
        <v>Medium</v>
      </c>
    </row>
    <row r="786" spans="1:3" x14ac:dyDescent="0.25">
      <c r="A786" s="5" t="s">
        <v>91</v>
      </c>
      <c r="B786" s="6">
        <v>573</v>
      </c>
      <c r="C786" s="7" t="str" cm="1">
        <f t="array" ref="C786">_xlfn.IFS(B786 &lt;= 567, "Cheap", B786 &lt;= 1033, "Medium", TRUE, "Higher")</f>
        <v>Medium</v>
      </c>
    </row>
    <row r="787" spans="1:3" x14ac:dyDescent="0.25">
      <c r="A787" s="5" t="s">
        <v>91</v>
      </c>
      <c r="B787" s="6">
        <v>626</v>
      </c>
      <c r="C787" s="7" t="str" cm="1">
        <f t="array" ref="C787">_xlfn.IFS(B787 &lt;= 567, "Cheap", B787 &lt;= 1033, "Medium", TRUE, "Higher")</f>
        <v>Medium</v>
      </c>
    </row>
    <row r="788" spans="1:3" x14ac:dyDescent="0.25">
      <c r="A788" s="5" t="s">
        <v>91</v>
      </c>
      <c r="B788" s="6">
        <v>638</v>
      </c>
      <c r="C788" s="7" t="str" cm="1">
        <f t="array" ref="C788">_xlfn.IFS(B788 &lt;= 567, "Cheap", B788 &lt;= 1033, "Medium", TRUE, "Higher")</f>
        <v>Medium</v>
      </c>
    </row>
    <row r="789" spans="1:3" x14ac:dyDescent="0.25">
      <c r="A789" s="5" t="s">
        <v>91</v>
      </c>
      <c r="B789" s="6">
        <v>645</v>
      </c>
      <c r="C789" s="7" t="str" cm="1">
        <f t="array" ref="C789">_xlfn.IFS(B789 &lt;= 567, "Cheap", B789 &lt;= 1033, "Medium", TRUE, "Higher")</f>
        <v>Medium</v>
      </c>
    </row>
    <row r="790" spans="1:3" x14ac:dyDescent="0.25">
      <c r="A790" s="5" t="s">
        <v>91</v>
      </c>
      <c r="B790" s="6">
        <v>655</v>
      </c>
      <c r="C790" s="7" t="str" cm="1">
        <f t="array" ref="C790">_xlfn.IFS(B790 &lt;= 567, "Cheap", B790 &lt;= 1033, "Medium", TRUE, "Higher")</f>
        <v>Medium</v>
      </c>
    </row>
    <row r="791" spans="1:3" x14ac:dyDescent="0.25">
      <c r="A791" s="5" t="s">
        <v>91</v>
      </c>
      <c r="B791" s="6">
        <v>656</v>
      </c>
      <c r="C791" s="7" t="str" cm="1">
        <f t="array" ref="C791">_xlfn.IFS(B791 &lt;= 567, "Cheap", B791 &lt;= 1033, "Medium", TRUE, "Higher")</f>
        <v>Medium</v>
      </c>
    </row>
    <row r="792" spans="1:3" x14ac:dyDescent="0.25">
      <c r="A792" s="5" t="s">
        <v>91</v>
      </c>
      <c r="B792" s="6">
        <v>661</v>
      </c>
      <c r="C792" s="7" t="str" cm="1">
        <f t="array" ref="C792">_xlfn.IFS(B792 &lt;= 567, "Cheap", B792 &lt;= 1033, "Medium", TRUE, "Higher")</f>
        <v>Medium</v>
      </c>
    </row>
    <row r="793" spans="1:3" x14ac:dyDescent="0.25">
      <c r="A793" s="5" t="s">
        <v>91</v>
      </c>
      <c r="B793" s="6">
        <v>662</v>
      </c>
      <c r="C793" s="7" t="str" cm="1">
        <f t="array" ref="C793">_xlfn.IFS(B793 &lt;= 567, "Cheap", B793 &lt;= 1033, "Medium", TRUE, "Higher")</f>
        <v>Medium</v>
      </c>
    </row>
    <row r="794" spans="1:3" x14ac:dyDescent="0.25">
      <c r="A794" s="5" t="s">
        <v>91</v>
      </c>
      <c r="B794" s="6">
        <v>693</v>
      </c>
      <c r="C794" s="7" t="str" cm="1">
        <f t="array" ref="C794">_xlfn.IFS(B794 &lt;= 567, "Cheap", B794 &lt;= 1033, "Medium", TRUE, "Higher")</f>
        <v>Medium</v>
      </c>
    </row>
    <row r="795" spans="1:3" x14ac:dyDescent="0.25">
      <c r="A795" s="5" t="s">
        <v>91</v>
      </c>
      <c r="B795" s="6">
        <v>699</v>
      </c>
      <c r="C795" s="7" t="str" cm="1">
        <f t="array" ref="C795">_xlfn.IFS(B795 &lt;= 567, "Cheap", B795 &lt;= 1033, "Medium", TRUE, "Higher")</f>
        <v>Medium</v>
      </c>
    </row>
    <row r="796" spans="1:3" x14ac:dyDescent="0.25">
      <c r="A796" s="5" t="s">
        <v>91</v>
      </c>
      <c r="B796" s="6">
        <v>718</v>
      </c>
      <c r="C796" s="7" t="str" cm="1">
        <f t="array" ref="C796">_xlfn.IFS(B796 &lt;= 567, "Cheap", B796 &lt;= 1033, "Medium", TRUE, "Higher")</f>
        <v>Medium</v>
      </c>
    </row>
    <row r="797" spans="1:3" x14ac:dyDescent="0.25">
      <c r="A797" s="5" t="s">
        <v>91</v>
      </c>
      <c r="B797" s="6">
        <v>729</v>
      </c>
      <c r="C797" s="7" t="str" cm="1">
        <f t="array" ref="C797">_xlfn.IFS(B797 &lt;= 567, "Cheap", B797 &lt;= 1033, "Medium", TRUE, "Higher")</f>
        <v>Medium</v>
      </c>
    </row>
    <row r="798" spans="1:3" x14ac:dyDescent="0.25">
      <c r="A798" s="5" t="s">
        <v>91</v>
      </c>
      <c r="B798" s="6">
        <v>748</v>
      </c>
      <c r="C798" s="7" t="str" cm="1">
        <f t="array" ref="C798">_xlfn.IFS(B798 &lt;= 567, "Cheap", B798 &lt;= 1033, "Medium", TRUE, "Higher")</f>
        <v>Medium</v>
      </c>
    </row>
    <row r="799" spans="1:3" x14ac:dyDescent="0.25">
      <c r="A799" s="5" t="s">
        <v>91</v>
      </c>
      <c r="B799" s="6">
        <v>753</v>
      </c>
      <c r="C799" s="7" t="str" cm="1">
        <f t="array" ref="C799">_xlfn.IFS(B799 &lt;= 567, "Cheap", B799 &lt;= 1033, "Medium", TRUE, "Higher")</f>
        <v>Medium</v>
      </c>
    </row>
    <row r="800" spans="1:3" x14ac:dyDescent="0.25">
      <c r="A800" s="5" t="s">
        <v>91</v>
      </c>
      <c r="B800" s="6">
        <v>769</v>
      </c>
      <c r="C800" s="7" t="str" cm="1">
        <f t="array" ref="C800">_xlfn.IFS(B800 &lt;= 567, "Cheap", B800 &lt;= 1033, "Medium", TRUE, "Higher")</f>
        <v>Medium</v>
      </c>
    </row>
    <row r="801" spans="1:3" x14ac:dyDescent="0.25">
      <c r="A801" s="5" t="s">
        <v>91</v>
      </c>
      <c r="B801" s="6">
        <v>774</v>
      </c>
      <c r="C801" s="7" t="str" cm="1">
        <f t="array" ref="C801">_xlfn.IFS(B801 &lt;= 567, "Cheap", B801 &lt;= 1033, "Medium", TRUE, "Higher")</f>
        <v>Medium</v>
      </c>
    </row>
    <row r="802" spans="1:3" x14ac:dyDescent="0.25">
      <c r="A802" s="5" t="s">
        <v>91</v>
      </c>
      <c r="B802" s="6">
        <v>788</v>
      </c>
      <c r="C802" s="7" t="str" cm="1">
        <f t="array" ref="C802">_xlfn.IFS(B802 &lt;= 567, "Cheap", B802 &lt;= 1033, "Medium", TRUE, "Higher")</f>
        <v>Medium</v>
      </c>
    </row>
    <row r="803" spans="1:3" x14ac:dyDescent="0.25">
      <c r="A803" s="5" t="s">
        <v>91</v>
      </c>
      <c r="B803" s="6">
        <v>792</v>
      </c>
      <c r="C803" s="7" t="str" cm="1">
        <f t="array" ref="C803">_xlfn.IFS(B803 &lt;= 567, "Cheap", B803 &lt;= 1033, "Medium", TRUE, "Higher")</f>
        <v>Medium</v>
      </c>
    </row>
    <row r="804" spans="1:3" x14ac:dyDescent="0.25">
      <c r="A804" s="5" t="s">
        <v>33</v>
      </c>
      <c r="B804" s="6">
        <v>582</v>
      </c>
      <c r="C804" s="7" t="str" cm="1">
        <f t="array" ref="C804">_xlfn.IFS(B804 &lt;= 567, "Cheap", B804 &lt;= 1033, "Medium", TRUE, "Higher")</f>
        <v>Medium</v>
      </c>
    </row>
    <row r="805" spans="1:3" x14ac:dyDescent="0.25">
      <c r="A805" s="5" t="s">
        <v>33</v>
      </c>
      <c r="B805" s="6">
        <v>604</v>
      </c>
      <c r="C805" s="7" t="str" cm="1">
        <f t="array" ref="C805">_xlfn.IFS(B805 &lt;= 567, "Cheap", B805 &lt;= 1033, "Medium", TRUE, "Higher")</f>
        <v>Medium</v>
      </c>
    </row>
    <row r="806" spans="1:3" x14ac:dyDescent="0.25">
      <c r="A806" s="5" t="s">
        <v>33</v>
      </c>
      <c r="B806" s="6">
        <v>611</v>
      </c>
      <c r="C806" s="7" t="str" cm="1">
        <f t="array" ref="C806">_xlfn.IFS(B806 &lt;= 567, "Cheap", B806 &lt;= 1033, "Medium", TRUE, "Higher")</f>
        <v>Medium</v>
      </c>
    </row>
    <row r="807" spans="1:3" x14ac:dyDescent="0.25">
      <c r="A807" s="5" t="s">
        <v>33</v>
      </c>
      <c r="B807" s="6">
        <v>622</v>
      </c>
      <c r="C807" s="7" t="str" cm="1">
        <f t="array" ref="C807">_xlfn.IFS(B807 &lt;= 567, "Cheap", B807 &lt;= 1033, "Medium", TRUE, "Higher")</f>
        <v>Medium</v>
      </c>
    </row>
    <row r="808" spans="1:3" x14ac:dyDescent="0.25">
      <c r="A808" s="5" t="s">
        <v>33</v>
      </c>
      <c r="B808" s="6">
        <v>638</v>
      </c>
      <c r="C808" s="7" t="str" cm="1">
        <f t="array" ref="C808">_xlfn.IFS(B808 &lt;= 567, "Cheap", B808 &lt;= 1033, "Medium", TRUE, "Higher")</f>
        <v>Medium</v>
      </c>
    </row>
    <row r="809" spans="1:3" x14ac:dyDescent="0.25">
      <c r="A809" s="5" t="s">
        <v>33</v>
      </c>
      <c r="B809" s="6">
        <v>640</v>
      </c>
      <c r="C809" s="7" t="str" cm="1">
        <f t="array" ref="C809">_xlfn.IFS(B809 &lt;= 567, "Cheap", B809 &lt;= 1033, "Medium", TRUE, "Higher")</f>
        <v>Medium</v>
      </c>
    </row>
    <row r="810" spans="1:3" x14ac:dyDescent="0.25">
      <c r="A810" s="5" t="s">
        <v>33</v>
      </c>
      <c r="B810" s="6">
        <v>642</v>
      </c>
      <c r="C810" s="7" t="str" cm="1">
        <f t="array" ref="C810">_xlfn.IFS(B810 &lt;= 567, "Cheap", B810 &lt;= 1033, "Medium", TRUE, "Higher")</f>
        <v>Medium</v>
      </c>
    </row>
    <row r="811" spans="1:3" x14ac:dyDescent="0.25">
      <c r="A811" s="5" t="s">
        <v>33</v>
      </c>
      <c r="B811" s="6">
        <v>654</v>
      </c>
      <c r="C811" s="7" t="str" cm="1">
        <f t="array" ref="C811">_xlfn.IFS(B811 &lt;= 567, "Cheap", B811 &lt;= 1033, "Medium", TRUE, "Higher")</f>
        <v>Medium</v>
      </c>
    </row>
    <row r="812" spans="1:3" x14ac:dyDescent="0.25">
      <c r="A812" s="5" t="s">
        <v>33</v>
      </c>
      <c r="B812" s="6">
        <v>664</v>
      </c>
      <c r="C812" s="7" t="str" cm="1">
        <f t="array" ref="C812">_xlfn.IFS(B812 &lt;= 567, "Cheap", B812 &lt;= 1033, "Medium", TRUE, "Higher")</f>
        <v>Medium</v>
      </c>
    </row>
    <row r="813" spans="1:3" x14ac:dyDescent="0.25">
      <c r="A813" s="5" t="s">
        <v>33</v>
      </c>
      <c r="B813" s="6">
        <v>674</v>
      </c>
      <c r="C813" s="7" t="str" cm="1">
        <f t="array" ref="C813">_xlfn.IFS(B813 &lt;= 567, "Cheap", B813 &lt;= 1033, "Medium", TRUE, "Higher")</f>
        <v>Medium</v>
      </c>
    </row>
    <row r="814" spans="1:3" x14ac:dyDescent="0.25">
      <c r="A814" s="5" t="s">
        <v>33</v>
      </c>
      <c r="B814" s="6">
        <v>699</v>
      </c>
      <c r="C814" s="7" t="str" cm="1">
        <f t="array" ref="C814">_xlfn.IFS(B814 &lt;= 567, "Cheap", B814 &lt;= 1033, "Medium", TRUE, "Higher")</f>
        <v>Medium</v>
      </c>
    </row>
    <row r="815" spans="1:3" x14ac:dyDescent="0.25">
      <c r="A815" s="5" t="s">
        <v>33</v>
      </c>
      <c r="B815" s="6">
        <v>701</v>
      </c>
      <c r="C815" s="7" t="str" cm="1">
        <f t="array" ref="C815">_xlfn.IFS(B815 &lt;= 567, "Cheap", B815 &lt;= 1033, "Medium", TRUE, "Higher")</f>
        <v>Medium</v>
      </c>
    </row>
    <row r="816" spans="1:3" x14ac:dyDescent="0.25">
      <c r="A816" s="5" t="s">
        <v>33</v>
      </c>
      <c r="B816" s="6">
        <v>732</v>
      </c>
      <c r="C816" s="7" t="str" cm="1">
        <f t="array" ref="C816">_xlfn.IFS(B816 &lt;= 567, "Cheap", B816 &lt;= 1033, "Medium", TRUE, "Higher")</f>
        <v>Medium</v>
      </c>
    </row>
    <row r="817" spans="1:3" x14ac:dyDescent="0.25">
      <c r="A817" s="5" t="s">
        <v>33</v>
      </c>
      <c r="B817" s="6">
        <v>773</v>
      </c>
      <c r="C817" s="7" t="str" cm="1">
        <f t="array" ref="C817">_xlfn.IFS(B817 &lt;= 567, "Cheap", B817 &lt;= 1033, "Medium", TRUE, "Higher")</f>
        <v>Medium</v>
      </c>
    </row>
    <row r="818" spans="1:3" x14ac:dyDescent="0.25">
      <c r="A818" s="5" t="s">
        <v>33</v>
      </c>
      <c r="B818" s="6">
        <v>776</v>
      </c>
      <c r="C818" s="7" t="str" cm="1">
        <f t="array" ref="C818">_xlfn.IFS(B818 &lt;= 567, "Cheap", B818 &lt;= 1033, "Medium", TRUE, "Higher")</f>
        <v>Medium</v>
      </c>
    </row>
    <row r="819" spans="1:3" x14ac:dyDescent="0.25">
      <c r="A819" s="5" t="s">
        <v>33</v>
      </c>
      <c r="B819" s="6">
        <v>779</v>
      </c>
      <c r="C819" s="7" t="str" cm="1">
        <f t="array" ref="C819">_xlfn.IFS(B819 &lt;= 567, "Cheap", B819 &lt;= 1033, "Medium", TRUE, "Higher")</f>
        <v>Medium</v>
      </c>
    </row>
    <row r="820" spans="1:3" x14ac:dyDescent="0.25">
      <c r="A820" s="5" t="s">
        <v>19</v>
      </c>
      <c r="B820" s="6">
        <v>577</v>
      </c>
      <c r="C820" s="7" t="str" cm="1">
        <f t="array" ref="C820">_xlfn.IFS(B820 &lt;= 567, "Cheap", B820 &lt;= 1033, "Medium", TRUE, "Higher")</f>
        <v>Medium</v>
      </c>
    </row>
    <row r="821" spans="1:3" x14ac:dyDescent="0.25">
      <c r="A821" s="5" t="s">
        <v>19</v>
      </c>
      <c r="B821" s="6">
        <v>585</v>
      </c>
      <c r="C821" s="7" t="str" cm="1">
        <f t="array" ref="C821">_xlfn.IFS(B821 &lt;= 567, "Cheap", B821 &lt;= 1033, "Medium", TRUE, "Higher")</f>
        <v>Medium</v>
      </c>
    </row>
    <row r="822" spans="1:3" x14ac:dyDescent="0.25">
      <c r="A822" s="5" t="s">
        <v>19</v>
      </c>
      <c r="B822" s="6">
        <v>629</v>
      </c>
      <c r="C822" s="7" t="str" cm="1">
        <f t="array" ref="C822">_xlfn.IFS(B822 &lt;= 567, "Cheap", B822 &lt;= 1033, "Medium", TRUE, "Higher")</f>
        <v>Medium</v>
      </c>
    </row>
    <row r="823" spans="1:3" x14ac:dyDescent="0.25">
      <c r="A823" s="5" t="s">
        <v>19</v>
      </c>
      <c r="B823" s="6">
        <v>633</v>
      </c>
      <c r="C823" s="7" t="str" cm="1">
        <f t="array" ref="C823">_xlfn.IFS(B823 &lt;= 567, "Cheap", B823 &lt;= 1033, "Medium", TRUE, "Higher")</f>
        <v>Medium</v>
      </c>
    </row>
    <row r="824" spans="1:3" x14ac:dyDescent="0.25">
      <c r="A824" s="5" t="s">
        <v>19</v>
      </c>
      <c r="B824" s="6">
        <v>636</v>
      </c>
      <c r="C824" s="7" t="str" cm="1">
        <f t="array" ref="C824">_xlfn.IFS(B824 &lt;= 567, "Cheap", B824 &lt;= 1033, "Medium", TRUE, "Higher")</f>
        <v>Medium</v>
      </c>
    </row>
    <row r="825" spans="1:3" x14ac:dyDescent="0.25">
      <c r="A825" s="5" t="s">
        <v>19</v>
      </c>
      <c r="B825" s="6">
        <v>648</v>
      </c>
      <c r="C825" s="7" t="str" cm="1">
        <f t="array" ref="C825">_xlfn.IFS(B825 &lt;= 567, "Cheap", B825 &lt;= 1033, "Medium", TRUE, "Higher")</f>
        <v>Medium</v>
      </c>
    </row>
    <row r="826" spans="1:3" x14ac:dyDescent="0.25">
      <c r="A826" s="5" t="s">
        <v>19</v>
      </c>
      <c r="B826" s="6">
        <v>651</v>
      </c>
      <c r="C826" s="7" t="str" cm="1">
        <f t="array" ref="C826">_xlfn.IFS(B826 &lt;= 567, "Cheap", B826 &lt;= 1033, "Medium", TRUE, "Higher")</f>
        <v>Medium</v>
      </c>
    </row>
    <row r="827" spans="1:3" x14ac:dyDescent="0.25">
      <c r="A827" s="5" t="s">
        <v>19</v>
      </c>
      <c r="B827" s="6">
        <v>657</v>
      </c>
      <c r="C827" s="7" t="str" cm="1">
        <f t="array" ref="C827">_xlfn.IFS(B827 &lt;= 567, "Cheap", B827 &lt;= 1033, "Medium", TRUE, "Higher")</f>
        <v>Medium</v>
      </c>
    </row>
    <row r="828" spans="1:3" x14ac:dyDescent="0.25">
      <c r="A828" s="5" t="s">
        <v>19</v>
      </c>
      <c r="B828" s="6">
        <v>670</v>
      </c>
      <c r="C828" s="7" t="str" cm="1">
        <f t="array" ref="C828">_xlfn.IFS(B828 &lt;= 567, "Cheap", B828 &lt;= 1033, "Medium", TRUE, "Higher")</f>
        <v>Medium</v>
      </c>
    </row>
    <row r="829" spans="1:3" x14ac:dyDescent="0.25">
      <c r="A829" s="5" t="s">
        <v>19</v>
      </c>
      <c r="B829" s="6">
        <v>723</v>
      </c>
      <c r="C829" s="7" t="str" cm="1">
        <f t="array" ref="C829">_xlfn.IFS(B829 &lt;= 567, "Cheap", B829 &lt;= 1033, "Medium", TRUE, "Higher")</f>
        <v>Medium</v>
      </c>
    </row>
    <row r="830" spans="1:3" x14ac:dyDescent="0.25">
      <c r="A830" s="5" t="s">
        <v>19</v>
      </c>
      <c r="B830" s="6">
        <v>754</v>
      </c>
      <c r="C830" s="7" t="str" cm="1">
        <f t="array" ref="C830">_xlfn.IFS(B830 &lt;= 567, "Cheap", B830 &lt;= 1033, "Medium", TRUE, "Higher")</f>
        <v>Medium</v>
      </c>
    </row>
    <row r="831" spans="1:3" x14ac:dyDescent="0.25">
      <c r="A831" s="5" t="s">
        <v>19</v>
      </c>
      <c r="B831" s="6">
        <v>758</v>
      </c>
      <c r="C831" s="7" t="str" cm="1">
        <f t="array" ref="C831">_xlfn.IFS(B831 &lt;= 567, "Cheap", B831 &lt;= 1033, "Medium", TRUE, "Higher")</f>
        <v>Medium</v>
      </c>
    </row>
    <row r="832" spans="1:3" x14ac:dyDescent="0.25">
      <c r="A832" s="5" t="s">
        <v>19</v>
      </c>
      <c r="B832" s="6">
        <v>773</v>
      </c>
      <c r="C832" s="7" t="str" cm="1">
        <f t="array" ref="C832">_xlfn.IFS(B832 &lt;= 567, "Cheap", B832 &lt;= 1033, "Medium", TRUE, "Higher")</f>
        <v>Medium</v>
      </c>
    </row>
    <row r="833" spans="1:3" x14ac:dyDescent="0.25">
      <c r="A833" s="5" t="s">
        <v>19</v>
      </c>
      <c r="B833" s="6">
        <v>776</v>
      </c>
      <c r="C833" s="7" t="str" cm="1">
        <f t="array" ref="C833">_xlfn.IFS(B833 &lt;= 567, "Cheap", B833 &lt;= 1033, "Medium", TRUE, "Higher")</f>
        <v>Medium</v>
      </c>
    </row>
    <row r="834" spans="1:3" x14ac:dyDescent="0.25">
      <c r="A834" s="5" t="s">
        <v>19</v>
      </c>
      <c r="B834" s="6">
        <v>781</v>
      </c>
      <c r="C834" s="7" t="str" cm="1">
        <f t="array" ref="C834">_xlfn.IFS(B834 &lt;= 567, "Cheap", B834 &lt;= 1033, "Medium", TRUE, "Higher")</f>
        <v>Medium</v>
      </c>
    </row>
    <row r="835" spans="1:3" x14ac:dyDescent="0.25">
      <c r="A835" s="5" t="s">
        <v>19</v>
      </c>
      <c r="B835" s="6">
        <v>787</v>
      </c>
      <c r="C835" s="7" t="str" cm="1">
        <f t="array" ref="C835">_xlfn.IFS(B835 &lt;= 567, "Cheap", B835 &lt;= 1033, "Medium", TRUE, "Higher")</f>
        <v>Medium</v>
      </c>
    </row>
    <row r="836" spans="1:3" x14ac:dyDescent="0.25">
      <c r="A836" s="5" t="s">
        <v>58</v>
      </c>
      <c r="B836" s="6">
        <v>817</v>
      </c>
      <c r="C836" s="7" t="str" cm="1">
        <f t="array" ref="C836">_xlfn.IFS(B836 &lt;= 567, "Cheap", B836 &lt;= 1033, "Medium", TRUE, "Higher")</f>
        <v>Medium</v>
      </c>
    </row>
    <row r="837" spans="1:3" x14ac:dyDescent="0.25">
      <c r="A837" s="5" t="s">
        <v>58</v>
      </c>
      <c r="B837" s="6">
        <v>818</v>
      </c>
      <c r="C837" s="7" t="str" cm="1">
        <f t="array" ref="C837">_xlfn.IFS(B837 &lt;= 567, "Cheap", B837 &lt;= 1033, "Medium", TRUE, "Higher")</f>
        <v>Medium</v>
      </c>
    </row>
    <row r="838" spans="1:3" x14ac:dyDescent="0.25">
      <c r="A838" s="5" t="s">
        <v>58</v>
      </c>
      <c r="B838" s="6">
        <v>824</v>
      </c>
      <c r="C838" s="7" t="str" cm="1">
        <f t="array" ref="C838">_xlfn.IFS(B838 &lt;= 567, "Cheap", B838 &lt;= 1033, "Medium", TRUE, "Higher")</f>
        <v>Medium</v>
      </c>
    </row>
    <row r="839" spans="1:3" x14ac:dyDescent="0.25">
      <c r="A839" s="5" t="s">
        <v>58</v>
      </c>
      <c r="B839" s="6">
        <v>853</v>
      </c>
      <c r="C839" s="7" t="str" cm="1">
        <f t="array" ref="C839">_xlfn.IFS(B839 &lt;= 567, "Cheap", B839 &lt;= 1033, "Medium", TRUE, "Higher")</f>
        <v>Medium</v>
      </c>
    </row>
    <row r="840" spans="1:3" x14ac:dyDescent="0.25">
      <c r="A840" s="5" t="s">
        <v>58</v>
      </c>
      <c r="B840" s="6">
        <v>868</v>
      </c>
      <c r="C840" s="7" t="str" cm="1">
        <f t="array" ref="C840">_xlfn.IFS(B840 &lt;= 567, "Cheap", B840 &lt;= 1033, "Medium", TRUE, "Higher")</f>
        <v>Medium</v>
      </c>
    </row>
    <row r="841" spans="1:3" x14ac:dyDescent="0.25">
      <c r="A841" s="5" t="s">
        <v>58</v>
      </c>
      <c r="B841" s="6">
        <v>873</v>
      </c>
      <c r="C841" s="7" t="str" cm="1">
        <f t="array" ref="C841">_xlfn.IFS(B841 &lt;= 567, "Cheap", B841 &lt;= 1033, "Medium", TRUE, "Higher")</f>
        <v>Medium</v>
      </c>
    </row>
    <row r="842" spans="1:3" x14ac:dyDescent="0.25">
      <c r="A842" s="5" t="s">
        <v>58</v>
      </c>
      <c r="B842" s="6">
        <v>918</v>
      </c>
      <c r="C842" s="7" t="str" cm="1">
        <f t="array" ref="C842">_xlfn.IFS(B842 &lt;= 567, "Cheap", B842 &lt;= 1033, "Medium", TRUE, "Higher")</f>
        <v>Medium</v>
      </c>
    </row>
    <row r="843" spans="1:3" x14ac:dyDescent="0.25">
      <c r="A843" s="5" t="s">
        <v>58</v>
      </c>
      <c r="B843" s="6">
        <v>919</v>
      </c>
      <c r="C843" s="7" t="str" cm="1">
        <f t="array" ref="C843">_xlfn.IFS(B843 &lt;= 567, "Cheap", B843 &lt;= 1033, "Medium", TRUE, "Higher")</f>
        <v>Medium</v>
      </c>
    </row>
    <row r="844" spans="1:3" x14ac:dyDescent="0.25">
      <c r="A844" s="5" t="s">
        <v>58</v>
      </c>
      <c r="B844" s="6">
        <v>922</v>
      </c>
      <c r="C844" s="7" t="str" cm="1">
        <f t="array" ref="C844">_xlfn.IFS(B844 &lt;= 567, "Cheap", B844 &lt;= 1033, "Medium", TRUE, "Higher")</f>
        <v>Medium</v>
      </c>
    </row>
    <row r="845" spans="1:3" x14ac:dyDescent="0.25">
      <c r="A845" s="5" t="s">
        <v>58</v>
      </c>
      <c r="B845" s="6">
        <v>933</v>
      </c>
      <c r="C845" s="7" t="str" cm="1">
        <f t="array" ref="C845">_xlfn.IFS(B845 &lt;= 567, "Cheap", B845 &lt;= 1033, "Medium", TRUE, "Higher")</f>
        <v>Medium</v>
      </c>
    </row>
    <row r="846" spans="1:3" x14ac:dyDescent="0.25">
      <c r="A846" s="5" t="s">
        <v>58</v>
      </c>
      <c r="B846" s="6">
        <v>937</v>
      </c>
      <c r="C846" s="7" t="str" cm="1">
        <f t="array" ref="C846">_xlfn.IFS(B846 &lt;= 567, "Cheap", B846 &lt;= 1033, "Medium", TRUE, "Higher")</f>
        <v>Medium</v>
      </c>
    </row>
    <row r="847" spans="1:3" x14ac:dyDescent="0.25">
      <c r="A847" s="5" t="s">
        <v>58</v>
      </c>
      <c r="B847" s="6">
        <v>993</v>
      </c>
      <c r="C847" s="7" t="str" cm="1">
        <f t="array" ref="C847">_xlfn.IFS(B847 &lt;= 567, "Cheap", B847 &lt;= 1033, "Medium", TRUE, "Higher")</f>
        <v>Medium</v>
      </c>
    </row>
    <row r="848" spans="1:3" x14ac:dyDescent="0.25">
      <c r="A848" s="5" t="s">
        <v>58</v>
      </c>
      <c r="B848" s="6">
        <v>1005</v>
      </c>
      <c r="C848" s="7" t="str" cm="1">
        <f t="array" ref="C848">_xlfn.IFS(B848 &lt;= 567, "Cheap", B848 &lt;= 1033, "Medium", TRUE, "Higher")</f>
        <v>Medium</v>
      </c>
    </row>
    <row r="849" spans="1:3" x14ac:dyDescent="0.25">
      <c r="A849" s="5" t="s">
        <v>58</v>
      </c>
      <c r="B849" s="6">
        <v>1014</v>
      </c>
      <c r="C849" s="7" t="str" cm="1">
        <f t="array" ref="C849">_xlfn.IFS(B849 &lt;= 567, "Cheap", B849 &lt;= 1033, "Medium", TRUE, "Higher")</f>
        <v>Medium</v>
      </c>
    </row>
    <row r="850" spans="1:3" x14ac:dyDescent="0.25">
      <c r="A850" s="5" t="s">
        <v>58</v>
      </c>
      <c r="B850" s="6">
        <v>1020</v>
      </c>
      <c r="C850" s="7" t="str" cm="1">
        <f t="array" ref="C850">_xlfn.IFS(B850 &lt;= 567, "Cheap", B850 &lt;= 1033, "Medium", TRUE, "Higher")</f>
        <v>Medium</v>
      </c>
    </row>
    <row r="851" spans="1:3" x14ac:dyDescent="0.25">
      <c r="A851" s="5" t="s">
        <v>52</v>
      </c>
      <c r="B851" s="6">
        <v>820</v>
      </c>
      <c r="C851" s="7" t="str" cm="1">
        <f t="array" ref="C851">_xlfn.IFS(B851 &lt;= 567, "Cheap", B851 &lt;= 1033, "Medium", TRUE, "Higher")</f>
        <v>Medium</v>
      </c>
    </row>
    <row r="852" spans="1:3" x14ac:dyDescent="0.25">
      <c r="A852" s="5" t="s">
        <v>52</v>
      </c>
      <c r="B852" s="6">
        <v>821</v>
      </c>
      <c r="C852" s="7" t="str" cm="1">
        <f t="array" ref="C852">_xlfn.IFS(B852 &lt;= 567, "Cheap", B852 &lt;= 1033, "Medium", TRUE, "Higher")</f>
        <v>Medium</v>
      </c>
    </row>
    <row r="853" spans="1:3" x14ac:dyDescent="0.25">
      <c r="A853" s="5" t="s">
        <v>52</v>
      </c>
      <c r="B853" s="6">
        <v>825</v>
      </c>
      <c r="C853" s="7" t="str" cm="1">
        <f t="array" ref="C853">_xlfn.IFS(B853 &lt;= 567, "Cheap", B853 &lt;= 1033, "Medium", TRUE, "Higher")</f>
        <v>Medium</v>
      </c>
    </row>
    <row r="854" spans="1:3" x14ac:dyDescent="0.25">
      <c r="A854" s="5" t="s">
        <v>52</v>
      </c>
      <c r="B854" s="6">
        <v>883</v>
      </c>
      <c r="C854" s="7" t="str" cm="1">
        <f t="array" ref="C854">_xlfn.IFS(B854 &lt;= 567, "Cheap", B854 &lt;= 1033, "Medium", TRUE, "Higher")</f>
        <v>Medium</v>
      </c>
    </row>
    <row r="855" spans="1:3" x14ac:dyDescent="0.25">
      <c r="A855" s="5" t="s">
        <v>52</v>
      </c>
      <c r="B855" s="6">
        <v>889</v>
      </c>
      <c r="C855" s="7" t="str" cm="1">
        <f t="array" ref="C855">_xlfn.IFS(B855 &lt;= 567, "Cheap", B855 &lt;= 1033, "Medium", TRUE, "Higher")</f>
        <v>Medium</v>
      </c>
    </row>
    <row r="856" spans="1:3" x14ac:dyDescent="0.25">
      <c r="A856" s="5" t="s">
        <v>52</v>
      </c>
      <c r="B856" s="6">
        <v>890</v>
      </c>
      <c r="C856" s="7" t="str" cm="1">
        <f t="array" ref="C856">_xlfn.IFS(B856 &lt;= 567, "Cheap", B856 &lt;= 1033, "Medium", TRUE, "Higher")</f>
        <v>Medium</v>
      </c>
    </row>
    <row r="857" spans="1:3" x14ac:dyDescent="0.25">
      <c r="A857" s="5" t="s">
        <v>52</v>
      </c>
      <c r="B857" s="6">
        <v>892</v>
      </c>
      <c r="C857" s="7" t="str" cm="1">
        <f t="array" ref="C857">_xlfn.IFS(B857 &lt;= 567, "Cheap", B857 &lt;= 1033, "Medium", TRUE, "Higher")</f>
        <v>Medium</v>
      </c>
    </row>
    <row r="858" spans="1:3" x14ac:dyDescent="0.25">
      <c r="A858" s="5" t="s">
        <v>52</v>
      </c>
      <c r="B858" s="6">
        <v>920</v>
      </c>
      <c r="C858" s="7" t="str" cm="1">
        <f t="array" ref="C858">_xlfn.IFS(B858 &lt;= 567, "Cheap", B858 &lt;= 1033, "Medium", TRUE, "Higher")</f>
        <v>Medium</v>
      </c>
    </row>
    <row r="859" spans="1:3" x14ac:dyDescent="0.25">
      <c r="A859" s="5" t="s">
        <v>52</v>
      </c>
      <c r="B859" s="6">
        <v>947</v>
      </c>
      <c r="C859" s="7" t="str" cm="1">
        <f t="array" ref="C859">_xlfn.IFS(B859 &lt;= 567, "Cheap", B859 &lt;= 1033, "Medium", TRUE, "Higher")</f>
        <v>Medium</v>
      </c>
    </row>
    <row r="860" spans="1:3" x14ac:dyDescent="0.25">
      <c r="A860" s="5" t="s">
        <v>52</v>
      </c>
      <c r="B860" s="6">
        <v>951</v>
      </c>
      <c r="C860" s="7" t="str" cm="1">
        <f t="array" ref="C860">_xlfn.IFS(B860 &lt;= 567, "Cheap", B860 &lt;= 1033, "Medium", TRUE, "Higher")</f>
        <v>Medium</v>
      </c>
    </row>
    <row r="861" spans="1:3" x14ac:dyDescent="0.25">
      <c r="A861" s="5" t="s">
        <v>52</v>
      </c>
      <c r="B861" s="6">
        <v>952</v>
      </c>
      <c r="C861" s="7" t="str" cm="1">
        <f t="array" ref="C861">_xlfn.IFS(B861 &lt;= 567, "Cheap", B861 &lt;= 1033, "Medium", TRUE, "Higher")</f>
        <v>Medium</v>
      </c>
    </row>
    <row r="862" spans="1:3" x14ac:dyDescent="0.25">
      <c r="A862" s="5" t="s">
        <v>52</v>
      </c>
      <c r="B862" s="6">
        <v>961</v>
      </c>
      <c r="C862" s="7" t="str" cm="1">
        <f t="array" ref="C862">_xlfn.IFS(B862 &lt;= 567, "Cheap", B862 &lt;= 1033, "Medium", TRUE, "Higher")</f>
        <v>Medium</v>
      </c>
    </row>
    <row r="863" spans="1:3" x14ac:dyDescent="0.25">
      <c r="A863" s="5" t="s">
        <v>52</v>
      </c>
      <c r="B863" s="6">
        <v>966</v>
      </c>
      <c r="C863" s="7" t="str" cm="1">
        <f t="array" ref="C863">_xlfn.IFS(B863 &lt;= 567, "Cheap", B863 &lt;= 1033, "Medium", TRUE, "Higher")</f>
        <v>Medium</v>
      </c>
    </row>
    <row r="864" spans="1:3" x14ac:dyDescent="0.25">
      <c r="A864" s="5" t="s">
        <v>52</v>
      </c>
      <c r="B864" s="6">
        <v>968</v>
      </c>
      <c r="C864" s="7" t="str" cm="1">
        <f t="array" ref="C864">_xlfn.IFS(B864 &lt;= 567, "Cheap", B864 &lt;= 1033, "Medium", TRUE, "Higher")</f>
        <v>Medium</v>
      </c>
    </row>
    <row r="865" spans="1:3" x14ac:dyDescent="0.25">
      <c r="A865" s="5" t="s">
        <v>52</v>
      </c>
      <c r="B865" s="6">
        <v>969</v>
      </c>
      <c r="C865" s="7" t="str" cm="1">
        <f t="array" ref="C865">_xlfn.IFS(B865 &lt;= 567, "Cheap", B865 &lt;= 1033, "Medium", TRUE, "Higher")</f>
        <v>Medium</v>
      </c>
    </row>
    <row r="866" spans="1:3" x14ac:dyDescent="0.25">
      <c r="A866" s="5" t="s">
        <v>52</v>
      </c>
      <c r="B866" s="6">
        <v>980</v>
      </c>
      <c r="C866" s="7" t="str" cm="1">
        <f t="array" ref="C866">_xlfn.IFS(B866 &lt;= 567, "Cheap", B866 &lt;= 1033, "Medium", TRUE, "Higher")</f>
        <v>Medium</v>
      </c>
    </row>
    <row r="867" spans="1:3" x14ac:dyDescent="0.25">
      <c r="A867" s="5" t="s">
        <v>52</v>
      </c>
      <c r="B867" s="6">
        <v>983</v>
      </c>
      <c r="C867" s="7" t="str" cm="1">
        <f t="array" ref="C867">_xlfn.IFS(B867 &lt;= 567, "Cheap", B867 &lt;= 1033, "Medium", TRUE, "Higher")</f>
        <v>Medium</v>
      </c>
    </row>
    <row r="868" spans="1:3" x14ac:dyDescent="0.25">
      <c r="A868" s="5" t="s">
        <v>52</v>
      </c>
      <c r="B868" s="6">
        <v>994</v>
      </c>
      <c r="C868" s="7" t="str" cm="1">
        <f t="array" ref="C868">_xlfn.IFS(B868 &lt;= 567, "Cheap", B868 &lt;= 1033, "Medium", TRUE, "Higher")</f>
        <v>Medium</v>
      </c>
    </row>
    <row r="869" spans="1:3" x14ac:dyDescent="0.25">
      <c r="A869" s="5" t="s">
        <v>52</v>
      </c>
      <c r="B869" s="6">
        <v>1019</v>
      </c>
      <c r="C869" s="7" t="str" cm="1">
        <f t="array" ref="C869">_xlfn.IFS(B869 &lt;= 567, "Cheap", B869 &lt;= 1033, "Medium", TRUE, "Higher")</f>
        <v>Medium</v>
      </c>
    </row>
    <row r="870" spans="1:3" x14ac:dyDescent="0.25">
      <c r="A870" s="5" t="s">
        <v>52</v>
      </c>
      <c r="B870" s="6">
        <v>1020</v>
      </c>
      <c r="C870" s="7" t="str" cm="1">
        <f t="array" ref="C870">_xlfn.IFS(B870 &lt;= 567, "Cheap", B870 &lt;= 1033, "Medium", TRUE, "Higher")</f>
        <v>Medium</v>
      </c>
    </row>
    <row r="871" spans="1:3" x14ac:dyDescent="0.25">
      <c r="A871" s="5" t="s">
        <v>24</v>
      </c>
      <c r="B871" s="6">
        <v>814</v>
      </c>
      <c r="C871" s="7" t="str" cm="1">
        <f t="array" ref="C871">_xlfn.IFS(B871 &lt;= 567, "Cheap", B871 &lt;= 1033, "Medium", TRUE, "Higher")</f>
        <v>Medium</v>
      </c>
    </row>
    <row r="872" spans="1:3" x14ac:dyDescent="0.25">
      <c r="A872" s="5" t="s">
        <v>24</v>
      </c>
      <c r="B872" s="6">
        <v>825</v>
      </c>
      <c r="C872" s="7" t="str" cm="1">
        <f t="array" ref="C872">_xlfn.IFS(B872 &lt;= 567, "Cheap", B872 &lt;= 1033, "Medium", TRUE, "Higher")</f>
        <v>Medium</v>
      </c>
    </row>
    <row r="873" spans="1:3" x14ac:dyDescent="0.25">
      <c r="A873" s="5" t="s">
        <v>24</v>
      </c>
      <c r="B873" s="6">
        <v>836</v>
      </c>
      <c r="C873" s="7" t="str" cm="1">
        <f t="array" ref="C873">_xlfn.IFS(B873 &lt;= 567, "Cheap", B873 &lt;= 1033, "Medium", TRUE, "Higher")</f>
        <v>Medium</v>
      </c>
    </row>
    <row r="874" spans="1:3" x14ac:dyDescent="0.25">
      <c r="A874" s="5" t="s">
        <v>24</v>
      </c>
      <c r="B874" s="6">
        <v>840</v>
      </c>
      <c r="C874" s="7" t="str" cm="1">
        <f t="array" ref="C874">_xlfn.IFS(B874 &lt;= 567, "Cheap", B874 &lt;= 1033, "Medium", TRUE, "Higher")</f>
        <v>Medium</v>
      </c>
    </row>
    <row r="875" spans="1:3" x14ac:dyDescent="0.25">
      <c r="A875" s="5" t="s">
        <v>24</v>
      </c>
      <c r="B875" s="6">
        <v>851</v>
      </c>
      <c r="C875" s="7" t="str" cm="1">
        <f t="array" ref="C875">_xlfn.IFS(B875 &lt;= 567, "Cheap", B875 &lt;= 1033, "Medium", TRUE, "Higher")</f>
        <v>Medium</v>
      </c>
    </row>
    <row r="876" spans="1:3" x14ac:dyDescent="0.25">
      <c r="A876" s="5" t="s">
        <v>24</v>
      </c>
      <c r="B876" s="6">
        <v>852</v>
      </c>
      <c r="C876" s="7" t="str" cm="1">
        <f t="array" ref="C876">_xlfn.IFS(B876 &lt;= 567, "Cheap", B876 &lt;= 1033, "Medium", TRUE, "Higher")</f>
        <v>Medium</v>
      </c>
    </row>
    <row r="877" spans="1:3" x14ac:dyDescent="0.25">
      <c r="A877" s="5" t="s">
        <v>24</v>
      </c>
      <c r="B877" s="6">
        <v>858</v>
      </c>
      <c r="C877" s="7" t="str" cm="1">
        <f t="array" ref="C877">_xlfn.IFS(B877 &lt;= 567, "Cheap", B877 &lt;= 1033, "Medium", TRUE, "Higher")</f>
        <v>Medium</v>
      </c>
    </row>
    <row r="878" spans="1:3" x14ac:dyDescent="0.25">
      <c r="A878" s="5" t="s">
        <v>24</v>
      </c>
      <c r="B878" s="6">
        <v>881</v>
      </c>
      <c r="C878" s="7" t="str" cm="1">
        <f t="array" ref="C878">_xlfn.IFS(B878 &lt;= 567, "Cheap", B878 &lt;= 1033, "Medium", TRUE, "Higher")</f>
        <v>Medium</v>
      </c>
    </row>
    <row r="879" spans="1:3" x14ac:dyDescent="0.25">
      <c r="A879" s="5" t="s">
        <v>24</v>
      </c>
      <c r="B879" s="6">
        <v>882</v>
      </c>
      <c r="C879" s="7" t="str" cm="1">
        <f t="array" ref="C879">_xlfn.IFS(B879 &lt;= 567, "Cheap", B879 &lt;= 1033, "Medium", TRUE, "Higher")</f>
        <v>Medium</v>
      </c>
    </row>
    <row r="880" spans="1:3" x14ac:dyDescent="0.25">
      <c r="A880" s="5" t="s">
        <v>24</v>
      </c>
      <c r="B880" s="6">
        <v>885</v>
      </c>
      <c r="C880" s="7" t="str" cm="1">
        <f t="array" ref="C880">_xlfn.IFS(B880 &lt;= 567, "Cheap", B880 &lt;= 1033, "Medium", TRUE, "Higher")</f>
        <v>Medium</v>
      </c>
    </row>
    <row r="881" spans="1:3" x14ac:dyDescent="0.25">
      <c r="A881" s="5" t="s">
        <v>24</v>
      </c>
      <c r="B881" s="6">
        <v>910</v>
      </c>
      <c r="C881" s="7" t="str" cm="1">
        <f t="array" ref="C881">_xlfn.IFS(B881 &lt;= 567, "Cheap", B881 &lt;= 1033, "Medium", TRUE, "Higher")</f>
        <v>Medium</v>
      </c>
    </row>
    <row r="882" spans="1:3" x14ac:dyDescent="0.25">
      <c r="A882" s="5" t="s">
        <v>24</v>
      </c>
      <c r="B882" s="6">
        <v>1007</v>
      </c>
      <c r="C882" s="7" t="str" cm="1">
        <f t="array" ref="C882">_xlfn.IFS(B882 &lt;= 567, "Cheap", B882 &lt;= 1033, "Medium", TRUE, "Higher")</f>
        <v>Medium</v>
      </c>
    </row>
    <row r="883" spans="1:3" x14ac:dyDescent="0.25">
      <c r="A883" s="5" t="s">
        <v>24</v>
      </c>
      <c r="B883" s="6">
        <v>1012</v>
      </c>
      <c r="C883" s="7" t="str" cm="1">
        <f t="array" ref="C883">_xlfn.IFS(B883 &lt;= 567, "Cheap", B883 &lt;= 1033, "Medium", TRUE, "Higher")</f>
        <v>Medium</v>
      </c>
    </row>
    <row r="884" spans="1:3" x14ac:dyDescent="0.25">
      <c r="A884" s="5" t="s">
        <v>24</v>
      </c>
      <c r="B884" s="6">
        <v>1019</v>
      </c>
      <c r="C884" s="7" t="str" cm="1">
        <f t="array" ref="C884">_xlfn.IFS(B884 &lt;= 567, "Cheap", B884 &lt;= 1033, "Medium", TRUE, "Higher")</f>
        <v>Medium</v>
      </c>
    </row>
    <row r="885" spans="1:3" x14ac:dyDescent="0.25">
      <c r="A885" s="5" t="s">
        <v>24</v>
      </c>
      <c r="B885" s="6">
        <v>1019</v>
      </c>
      <c r="C885" s="7" t="str" cm="1">
        <f t="array" ref="C885">_xlfn.IFS(B885 &lt;= 567, "Cheap", B885 &lt;= 1033, "Medium", TRUE, "Higher")</f>
        <v>Medium</v>
      </c>
    </row>
    <row r="886" spans="1:3" x14ac:dyDescent="0.25">
      <c r="A886" s="5" t="s">
        <v>24</v>
      </c>
      <c r="B886" s="6">
        <v>1021</v>
      </c>
      <c r="C886" s="7" t="str" cm="1">
        <f t="array" ref="C886">_xlfn.IFS(B886 &lt;= 567, "Cheap", B886 &lt;= 1033, "Medium", TRUE, "Higher")</f>
        <v>Medium</v>
      </c>
    </row>
    <row r="887" spans="1:3" x14ac:dyDescent="0.25">
      <c r="A887" s="5" t="s">
        <v>24</v>
      </c>
      <c r="B887" s="6">
        <v>1032</v>
      </c>
      <c r="C887" s="7" t="str" cm="1">
        <f t="array" ref="C887">_xlfn.IFS(B887 &lt;= 567, "Cheap", B887 &lt;= 1033, "Medium", TRUE, "Higher")</f>
        <v>Medium</v>
      </c>
    </row>
    <row r="888" spans="1:3" x14ac:dyDescent="0.25">
      <c r="A888" s="5" t="s">
        <v>47</v>
      </c>
      <c r="B888" s="6">
        <v>817</v>
      </c>
      <c r="C888" s="7" t="str" cm="1">
        <f t="array" ref="C888">_xlfn.IFS(B888 &lt;= 567, "Cheap", B888 &lt;= 1033, "Medium", TRUE, "Higher")</f>
        <v>Medium</v>
      </c>
    </row>
    <row r="889" spans="1:3" x14ac:dyDescent="0.25">
      <c r="A889" s="5" t="s">
        <v>47</v>
      </c>
      <c r="B889" s="6">
        <v>830</v>
      </c>
      <c r="C889" s="7" t="str" cm="1">
        <f t="array" ref="C889">_xlfn.IFS(B889 &lt;= 567, "Cheap", B889 &lt;= 1033, "Medium", TRUE, "Higher")</f>
        <v>Medium</v>
      </c>
    </row>
    <row r="890" spans="1:3" x14ac:dyDescent="0.25">
      <c r="A890" s="5" t="s">
        <v>47</v>
      </c>
      <c r="B890" s="6">
        <v>833</v>
      </c>
      <c r="C890" s="7" t="str" cm="1">
        <f t="array" ref="C890">_xlfn.IFS(B890 &lt;= 567, "Cheap", B890 &lt;= 1033, "Medium", TRUE, "Higher")</f>
        <v>Medium</v>
      </c>
    </row>
    <row r="891" spans="1:3" x14ac:dyDescent="0.25">
      <c r="A891" s="5" t="s">
        <v>47</v>
      </c>
      <c r="B891" s="6">
        <v>845</v>
      </c>
      <c r="C891" s="7" t="str" cm="1">
        <f t="array" ref="C891">_xlfn.IFS(B891 &lt;= 567, "Cheap", B891 &lt;= 1033, "Medium", TRUE, "Higher")</f>
        <v>Medium</v>
      </c>
    </row>
    <row r="892" spans="1:3" x14ac:dyDescent="0.25">
      <c r="A892" s="5" t="s">
        <v>47</v>
      </c>
      <c r="B892" s="6">
        <v>848</v>
      </c>
      <c r="C892" s="7" t="str" cm="1">
        <f t="array" ref="C892">_xlfn.IFS(B892 &lt;= 567, "Cheap", B892 &lt;= 1033, "Medium", TRUE, "Higher")</f>
        <v>Medium</v>
      </c>
    </row>
    <row r="893" spans="1:3" x14ac:dyDescent="0.25">
      <c r="A893" s="5" t="s">
        <v>47</v>
      </c>
      <c r="B893" s="6">
        <v>850</v>
      </c>
      <c r="C893" s="7" t="str" cm="1">
        <f t="array" ref="C893">_xlfn.IFS(B893 &lt;= 567, "Cheap", B893 &lt;= 1033, "Medium", TRUE, "Higher")</f>
        <v>Medium</v>
      </c>
    </row>
    <row r="894" spans="1:3" x14ac:dyDescent="0.25">
      <c r="A894" s="5" t="s">
        <v>47</v>
      </c>
      <c r="B894" s="6">
        <v>853</v>
      </c>
      <c r="C894" s="7" t="str" cm="1">
        <f t="array" ref="C894">_xlfn.IFS(B894 &lt;= 567, "Cheap", B894 &lt;= 1033, "Medium", TRUE, "Higher")</f>
        <v>Medium</v>
      </c>
    </row>
    <row r="895" spans="1:3" x14ac:dyDescent="0.25">
      <c r="A895" s="5" t="s">
        <v>47</v>
      </c>
      <c r="B895" s="6">
        <v>876</v>
      </c>
      <c r="C895" s="7" t="str" cm="1">
        <f t="array" ref="C895">_xlfn.IFS(B895 &lt;= 567, "Cheap", B895 &lt;= 1033, "Medium", TRUE, "Higher")</f>
        <v>Medium</v>
      </c>
    </row>
    <row r="896" spans="1:3" x14ac:dyDescent="0.25">
      <c r="A896" s="5" t="s">
        <v>47</v>
      </c>
      <c r="B896" s="6">
        <v>883</v>
      </c>
      <c r="C896" s="7" t="str" cm="1">
        <f t="array" ref="C896">_xlfn.IFS(B896 &lt;= 567, "Cheap", B896 &lt;= 1033, "Medium", TRUE, "Higher")</f>
        <v>Medium</v>
      </c>
    </row>
    <row r="897" spans="1:3" x14ac:dyDescent="0.25">
      <c r="A897" s="5" t="s">
        <v>47</v>
      </c>
      <c r="B897" s="6">
        <v>897</v>
      </c>
      <c r="C897" s="7" t="str" cm="1">
        <f t="array" ref="C897">_xlfn.IFS(B897 &lt;= 567, "Cheap", B897 &lt;= 1033, "Medium", TRUE, "Higher")</f>
        <v>Medium</v>
      </c>
    </row>
    <row r="898" spans="1:3" x14ac:dyDescent="0.25">
      <c r="A898" s="5" t="s">
        <v>47</v>
      </c>
      <c r="B898" s="6">
        <v>898</v>
      </c>
      <c r="C898" s="7" t="str" cm="1">
        <f t="array" ref="C898">_xlfn.IFS(B898 &lt;= 567, "Cheap", B898 &lt;= 1033, "Medium", TRUE, "Higher")</f>
        <v>Medium</v>
      </c>
    </row>
    <row r="899" spans="1:3" x14ac:dyDescent="0.25">
      <c r="A899" s="5" t="s">
        <v>47</v>
      </c>
      <c r="B899" s="6">
        <v>901</v>
      </c>
      <c r="C899" s="7" t="str" cm="1">
        <f t="array" ref="C899">_xlfn.IFS(B899 &lt;= 567, "Cheap", B899 &lt;= 1033, "Medium", TRUE, "Higher")</f>
        <v>Medium</v>
      </c>
    </row>
    <row r="900" spans="1:3" x14ac:dyDescent="0.25">
      <c r="A900" s="5" t="s">
        <v>47</v>
      </c>
      <c r="B900" s="6">
        <v>909</v>
      </c>
      <c r="C900" s="7" t="str" cm="1">
        <f t="array" ref="C900">_xlfn.IFS(B900 &lt;= 567, "Cheap", B900 &lt;= 1033, "Medium", TRUE, "Higher")</f>
        <v>Medium</v>
      </c>
    </row>
    <row r="901" spans="1:3" x14ac:dyDescent="0.25">
      <c r="A901" s="5" t="s">
        <v>47</v>
      </c>
      <c r="B901" s="6">
        <v>923</v>
      </c>
      <c r="C901" s="7" t="str" cm="1">
        <f t="array" ref="C901">_xlfn.IFS(B901 &lt;= 567, "Cheap", B901 &lt;= 1033, "Medium", TRUE, "Higher")</f>
        <v>Medium</v>
      </c>
    </row>
    <row r="902" spans="1:3" x14ac:dyDescent="0.25">
      <c r="A902" s="5" t="s">
        <v>47</v>
      </c>
      <c r="B902" s="6">
        <v>926</v>
      </c>
      <c r="C902" s="7" t="str" cm="1">
        <f t="array" ref="C902">_xlfn.IFS(B902 &lt;= 567, "Cheap", B902 &lt;= 1033, "Medium", TRUE, "Higher")</f>
        <v>Medium</v>
      </c>
    </row>
    <row r="903" spans="1:3" x14ac:dyDescent="0.25">
      <c r="A903" s="5" t="s">
        <v>47</v>
      </c>
      <c r="B903" s="6">
        <v>928</v>
      </c>
      <c r="C903" s="7" t="str" cm="1">
        <f t="array" ref="C903">_xlfn.IFS(B903 &lt;= 567, "Cheap", B903 &lt;= 1033, "Medium", TRUE, "Higher")</f>
        <v>Medium</v>
      </c>
    </row>
    <row r="904" spans="1:3" x14ac:dyDescent="0.25">
      <c r="A904" s="5" t="s">
        <v>47</v>
      </c>
      <c r="B904" s="6">
        <v>938</v>
      </c>
      <c r="C904" s="7" t="str" cm="1">
        <f t="array" ref="C904">_xlfn.IFS(B904 &lt;= 567, "Cheap", B904 &lt;= 1033, "Medium", TRUE, "Higher")</f>
        <v>Medium</v>
      </c>
    </row>
    <row r="905" spans="1:3" x14ac:dyDescent="0.25">
      <c r="A905" s="5" t="s">
        <v>47</v>
      </c>
      <c r="B905" s="6">
        <v>975</v>
      </c>
      <c r="C905" s="7" t="str" cm="1">
        <f t="array" ref="C905">_xlfn.IFS(B905 &lt;= 567, "Cheap", B905 &lt;= 1033, "Medium", TRUE, "Higher")</f>
        <v>Medium</v>
      </c>
    </row>
    <row r="906" spans="1:3" x14ac:dyDescent="0.25">
      <c r="A906" s="5" t="s">
        <v>47</v>
      </c>
      <c r="B906" s="6">
        <v>1022</v>
      </c>
      <c r="C906" s="7" t="str" cm="1">
        <f t="array" ref="C906">_xlfn.IFS(B906 &lt;= 567, "Cheap", B906 &lt;= 1033, "Medium", TRUE, "Higher")</f>
        <v>Medium</v>
      </c>
    </row>
    <row r="907" spans="1:3" x14ac:dyDescent="0.25">
      <c r="A907" s="5" t="s">
        <v>47</v>
      </c>
      <c r="B907" s="6">
        <v>1033</v>
      </c>
      <c r="C907" s="7" t="str" cm="1">
        <f t="array" ref="C907">_xlfn.IFS(B907 &lt;= 567, "Cheap", B907 &lt;= 1033, "Medium", TRUE, "Higher")</f>
        <v>Medium</v>
      </c>
    </row>
    <row r="908" spans="1:3" x14ac:dyDescent="0.25">
      <c r="A908" s="5" t="s">
        <v>16</v>
      </c>
      <c r="B908" s="6">
        <v>820</v>
      </c>
      <c r="C908" s="7" t="str" cm="1">
        <f t="array" ref="C908">_xlfn.IFS(B908 &lt;= 567, "Cheap", B908 &lt;= 1033, "Medium", TRUE, "Higher")</f>
        <v>Medium</v>
      </c>
    </row>
    <row r="909" spans="1:3" x14ac:dyDescent="0.25">
      <c r="A909" s="5" t="s">
        <v>16</v>
      </c>
      <c r="B909" s="6">
        <v>855</v>
      </c>
      <c r="C909" s="7" t="str" cm="1">
        <f t="array" ref="C909">_xlfn.IFS(B909 &lt;= 567, "Cheap", B909 &lt;= 1033, "Medium", TRUE, "Higher")</f>
        <v>Medium</v>
      </c>
    </row>
    <row r="910" spans="1:3" x14ac:dyDescent="0.25">
      <c r="A910" s="5" t="s">
        <v>16</v>
      </c>
      <c r="B910" s="6">
        <v>875</v>
      </c>
      <c r="C910" s="7" t="str" cm="1">
        <f t="array" ref="C910">_xlfn.IFS(B910 &lt;= 567, "Cheap", B910 &lt;= 1033, "Medium", TRUE, "Higher")</f>
        <v>Medium</v>
      </c>
    </row>
    <row r="911" spans="1:3" x14ac:dyDescent="0.25">
      <c r="A911" s="5" t="s">
        <v>16</v>
      </c>
      <c r="B911" s="6">
        <v>880</v>
      </c>
      <c r="C911" s="7" t="str" cm="1">
        <f t="array" ref="C911">_xlfn.IFS(B911 &lt;= 567, "Cheap", B911 &lt;= 1033, "Medium", TRUE, "Higher")</f>
        <v>Medium</v>
      </c>
    </row>
    <row r="912" spans="1:3" x14ac:dyDescent="0.25">
      <c r="A912" s="5" t="s">
        <v>16</v>
      </c>
      <c r="B912" s="6">
        <v>884</v>
      </c>
      <c r="C912" s="7" t="str" cm="1">
        <f t="array" ref="C912">_xlfn.IFS(B912 &lt;= 567, "Cheap", B912 &lt;= 1033, "Medium", TRUE, "Higher")</f>
        <v>Medium</v>
      </c>
    </row>
    <row r="913" spans="1:3" x14ac:dyDescent="0.25">
      <c r="A913" s="5" t="s">
        <v>16</v>
      </c>
      <c r="B913" s="6">
        <v>888</v>
      </c>
      <c r="C913" s="7" t="str" cm="1">
        <f t="array" ref="C913">_xlfn.IFS(B913 &lt;= 567, "Cheap", B913 &lt;= 1033, "Medium", TRUE, "Higher")</f>
        <v>Medium</v>
      </c>
    </row>
    <row r="914" spans="1:3" x14ac:dyDescent="0.25">
      <c r="A914" s="5" t="s">
        <v>16</v>
      </c>
      <c r="B914" s="6">
        <v>892</v>
      </c>
      <c r="C914" s="7" t="str" cm="1">
        <f t="array" ref="C914">_xlfn.IFS(B914 &lt;= 567, "Cheap", B914 &lt;= 1033, "Medium", TRUE, "Higher")</f>
        <v>Medium</v>
      </c>
    </row>
    <row r="915" spans="1:3" x14ac:dyDescent="0.25">
      <c r="A915" s="5" t="s">
        <v>16</v>
      </c>
      <c r="B915" s="6">
        <v>930</v>
      </c>
      <c r="C915" s="7" t="str" cm="1">
        <f t="array" ref="C915">_xlfn.IFS(B915 &lt;= 567, "Cheap", B915 &lt;= 1033, "Medium", TRUE, "Higher")</f>
        <v>Medium</v>
      </c>
    </row>
    <row r="916" spans="1:3" x14ac:dyDescent="0.25">
      <c r="A916" s="5" t="s">
        <v>16</v>
      </c>
      <c r="B916" s="6">
        <v>933</v>
      </c>
      <c r="C916" s="7" t="str" cm="1">
        <f t="array" ref="C916">_xlfn.IFS(B916 &lt;= 567, "Cheap", B916 &lt;= 1033, "Medium", TRUE, "Higher")</f>
        <v>Medium</v>
      </c>
    </row>
    <row r="917" spans="1:3" x14ac:dyDescent="0.25">
      <c r="A917" s="5" t="s">
        <v>16</v>
      </c>
      <c r="B917" s="6">
        <v>948</v>
      </c>
      <c r="C917" s="7" t="str" cm="1">
        <f t="array" ref="C917">_xlfn.IFS(B917 &lt;= 567, "Cheap", B917 &lt;= 1033, "Medium", TRUE, "Higher")</f>
        <v>Medium</v>
      </c>
    </row>
    <row r="918" spans="1:3" x14ac:dyDescent="0.25">
      <c r="A918" s="5" t="s">
        <v>16</v>
      </c>
      <c r="B918" s="6">
        <v>953</v>
      </c>
      <c r="C918" s="7" t="str" cm="1">
        <f t="array" ref="C918">_xlfn.IFS(B918 &lt;= 567, "Cheap", B918 &lt;= 1033, "Medium", TRUE, "Higher")</f>
        <v>Medium</v>
      </c>
    </row>
    <row r="919" spans="1:3" x14ac:dyDescent="0.25">
      <c r="A919" s="5" t="s">
        <v>16</v>
      </c>
      <c r="B919" s="6">
        <v>1004</v>
      </c>
      <c r="C919" s="7" t="str" cm="1">
        <f t="array" ref="C919">_xlfn.IFS(B919 &lt;= 567, "Cheap", B919 &lt;= 1033, "Medium", TRUE, "Higher")</f>
        <v>Medium</v>
      </c>
    </row>
    <row r="920" spans="1:3" x14ac:dyDescent="0.25">
      <c r="A920" s="5" t="s">
        <v>16</v>
      </c>
      <c r="B920" s="6">
        <v>1008</v>
      </c>
      <c r="C920" s="7" t="str" cm="1">
        <f t="array" ref="C920">_xlfn.IFS(B920 &lt;= 567, "Cheap", B920 &lt;= 1033, "Medium", TRUE, "Higher")</f>
        <v>Medium</v>
      </c>
    </row>
    <row r="921" spans="1:3" x14ac:dyDescent="0.25">
      <c r="A921" s="5" t="s">
        <v>16</v>
      </c>
      <c r="B921" s="6">
        <v>1012</v>
      </c>
      <c r="C921" s="7" t="str" cm="1">
        <f t="array" ref="C921">_xlfn.IFS(B921 &lt;= 567, "Cheap", B921 &lt;= 1033, "Medium", TRUE, "Higher")</f>
        <v>Medium</v>
      </c>
    </row>
    <row r="922" spans="1:3" x14ac:dyDescent="0.25">
      <c r="A922" s="5" t="s">
        <v>16</v>
      </c>
      <c r="B922" s="6">
        <v>1025</v>
      </c>
      <c r="C922" s="7" t="str" cm="1">
        <f t="array" ref="C922">_xlfn.IFS(B922 &lt;= 567, "Cheap", B922 &lt;= 1033, "Medium", TRUE, "Higher")</f>
        <v>Medium</v>
      </c>
    </row>
    <row r="923" spans="1:3" x14ac:dyDescent="0.25">
      <c r="A923" s="5" t="s">
        <v>11</v>
      </c>
      <c r="B923" s="6">
        <v>814</v>
      </c>
      <c r="C923" s="7" t="str" cm="1">
        <f t="array" ref="C923">_xlfn.IFS(B923 &lt;= 567, "Cheap", B923 &lt;= 1033, "Medium", TRUE, "Higher")</f>
        <v>Medium</v>
      </c>
    </row>
    <row r="924" spans="1:3" x14ac:dyDescent="0.25">
      <c r="A924" s="5" t="s">
        <v>11</v>
      </c>
      <c r="B924" s="6">
        <v>818</v>
      </c>
      <c r="C924" s="7" t="str" cm="1">
        <f t="array" ref="C924">_xlfn.IFS(B924 &lt;= 567, "Cheap", B924 &lt;= 1033, "Medium", TRUE, "Higher")</f>
        <v>Medium</v>
      </c>
    </row>
    <row r="925" spans="1:3" x14ac:dyDescent="0.25">
      <c r="A925" s="5" t="s">
        <v>11</v>
      </c>
      <c r="B925" s="6">
        <v>827</v>
      </c>
      <c r="C925" s="7" t="str" cm="1">
        <f t="array" ref="C925">_xlfn.IFS(B925 &lt;= 567, "Cheap", B925 &lt;= 1033, "Medium", TRUE, "Higher")</f>
        <v>Medium</v>
      </c>
    </row>
    <row r="926" spans="1:3" x14ac:dyDescent="0.25">
      <c r="A926" s="5" t="s">
        <v>11</v>
      </c>
      <c r="B926" s="6">
        <v>830</v>
      </c>
      <c r="C926" s="7" t="str" cm="1">
        <f t="array" ref="C926">_xlfn.IFS(B926 &lt;= 567, "Cheap", B926 &lt;= 1033, "Medium", TRUE, "Higher")</f>
        <v>Medium</v>
      </c>
    </row>
    <row r="927" spans="1:3" x14ac:dyDescent="0.25">
      <c r="A927" s="5" t="s">
        <v>11</v>
      </c>
      <c r="B927" s="6">
        <v>834</v>
      </c>
      <c r="C927" s="7" t="str" cm="1">
        <f t="array" ref="C927">_xlfn.IFS(B927 &lt;= 567, "Cheap", B927 &lt;= 1033, "Medium", TRUE, "Higher")</f>
        <v>Medium</v>
      </c>
    </row>
    <row r="928" spans="1:3" x14ac:dyDescent="0.25">
      <c r="A928" s="5" t="s">
        <v>11</v>
      </c>
      <c r="B928" s="6">
        <v>835</v>
      </c>
      <c r="C928" s="7" t="str" cm="1">
        <f t="array" ref="C928">_xlfn.IFS(B928 &lt;= 567, "Cheap", B928 &lt;= 1033, "Medium", TRUE, "Higher")</f>
        <v>Medium</v>
      </c>
    </row>
    <row r="929" spans="1:3" x14ac:dyDescent="0.25">
      <c r="A929" s="5" t="s">
        <v>11</v>
      </c>
      <c r="B929" s="6">
        <v>857</v>
      </c>
      <c r="C929" s="7" t="str" cm="1">
        <f t="array" ref="C929">_xlfn.IFS(B929 &lt;= 567, "Cheap", B929 &lt;= 1033, "Medium", TRUE, "Higher")</f>
        <v>Medium</v>
      </c>
    </row>
    <row r="930" spans="1:3" x14ac:dyDescent="0.25">
      <c r="A930" s="5" t="s">
        <v>11</v>
      </c>
      <c r="B930" s="6">
        <v>881</v>
      </c>
      <c r="C930" s="7" t="str" cm="1">
        <f t="array" ref="C930">_xlfn.IFS(B930 &lt;= 567, "Cheap", B930 &lt;= 1033, "Medium", TRUE, "Higher")</f>
        <v>Medium</v>
      </c>
    </row>
    <row r="931" spans="1:3" x14ac:dyDescent="0.25">
      <c r="A931" s="5" t="s">
        <v>11</v>
      </c>
      <c r="B931" s="6">
        <v>882</v>
      </c>
      <c r="C931" s="7" t="str" cm="1">
        <f t="array" ref="C931">_xlfn.IFS(B931 &lt;= 567, "Cheap", B931 &lt;= 1033, "Medium", TRUE, "Higher")</f>
        <v>Medium</v>
      </c>
    </row>
    <row r="932" spans="1:3" x14ac:dyDescent="0.25">
      <c r="A932" s="5" t="s">
        <v>11</v>
      </c>
      <c r="B932" s="6">
        <v>895</v>
      </c>
      <c r="C932" s="7" t="str" cm="1">
        <f t="array" ref="C932">_xlfn.IFS(B932 &lt;= 567, "Cheap", B932 &lt;= 1033, "Medium", TRUE, "Higher")</f>
        <v>Medium</v>
      </c>
    </row>
    <row r="933" spans="1:3" x14ac:dyDescent="0.25">
      <c r="A933" s="5" t="s">
        <v>11</v>
      </c>
      <c r="B933" s="6">
        <v>896</v>
      </c>
      <c r="C933" s="7" t="str" cm="1">
        <f t="array" ref="C933">_xlfn.IFS(B933 &lt;= 567, "Cheap", B933 &lt;= 1033, "Medium", TRUE, "Higher")</f>
        <v>Medium</v>
      </c>
    </row>
    <row r="934" spans="1:3" x14ac:dyDescent="0.25">
      <c r="A934" s="5" t="s">
        <v>11</v>
      </c>
      <c r="B934" s="6">
        <v>910</v>
      </c>
      <c r="C934" s="7" t="str" cm="1">
        <f t="array" ref="C934">_xlfn.IFS(B934 &lt;= 567, "Cheap", B934 &lt;= 1033, "Medium", TRUE, "Higher")</f>
        <v>Medium</v>
      </c>
    </row>
    <row r="935" spans="1:3" x14ac:dyDescent="0.25">
      <c r="A935" s="5" t="s">
        <v>11</v>
      </c>
      <c r="B935" s="6">
        <v>939</v>
      </c>
      <c r="C935" s="7" t="str" cm="1">
        <f t="array" ref="C935">_xlfn.IFS(B935 &lt;= 567, "Cheap", B935 &lt;= 1033, "Medium", TRUE, "Higher")</f>
        <v>Medium</v>
      </c>
    </row>
    <row r="936" spans="1:3" x14ac:dyDescent="0.25">
      <c r="A936" s="5" t="s">
        <v>11</v>
      </c>
      <c r="B936" s="6">
        <v>941</v>
      </c>
      <c r="C936" s="7" t="str" cm="1">
        <f t="array" ref="C936">_xlfn.IFS(B936 &lt;= 567, "Cheap", B936 &lt;= 1033, "Medium", TRUE, "Higher")</f>
        <v>Medium</v>
      </c>
    </row>
    <row r="937" spans="1:3" x14ac:dyDescent="0.25">
      <c r="A937" s="5" t="s">
        <v>11</v>
      </c>
      <c r="B937" s="6">
        <v>951</v>
      </c>
      <c r="C937" s="7" t="str" cm="1">
        <f t="array" ref="C937">_xlfn.IFS(B937 &lt;= 567, "Cheap", B937 &lt;= 1033, "Medium", TRUE, "Higher")</f>
        <v>Medium</v>
      </c>
    </row>
    <row r="938" spans="1:3" x14ac:dyDescent="0.25">
      <c r="A938" s="5" t="s">
        <v>11</v>
      </c>
      <c r="B938" s="6">
        <v>957</v>
      </c>
      <c r="C938" s="7" t="str" cm="1">
        <f t="array" ref="C938">_xlfn.IFS(B938 &lt;= 567, "Cheap", B938 &lt;= 1033, "Medium", TRUE, "Higher")</f>
        <v>Medium</v>
      </c>
    </row>
    <row r="939" spans="1:3" x14ac:dyDescent="0.25">
      <c r="A939" s="5" t="s">
        <v>11</v>
      </c>
      <c r="B939" s="6">
        <v>984</v>
      </c>
      <c r="C939" s="7" t="str" cm="1">
        <f t="array" ref="C939">_xlfn.IFS(B939 &lt;= 567, "Cheap", B939 &lt;= 1033, "Medium", TRUE, "Higher")</f>
        <v>Medium</v>
      </c>
    </row>
    <row r="940" spans="1:3" x14ac:dyDescent="0.25">
      <c r="A940" s="5" t="s">
        <v>11</v>
      </c>
      <c r="B940" s="6">
        <v>1003</v>
      </c>
      <c r="C940" s="7" t="str" cm="1">
        <f t="array" ref="C940">_xlfn.IFS(B940 &lt;= 567, "Cheap", B940 &lt;= 1033, "Medium", TRUE, "Higher")</f>
        <v>Medium</v>
      </c>
    </row>
    <row r="941" spans="1:3" x14ac:dyDescent="0.25">
      <c r="A941" s="5" t="s">
        <v>11</v>
      </c>
      <c r="B941" s="6">
        <v>1032</v>
      </c>
      <c r="C941" s="7" t="str" cm="1">
        <f t="array" ref="C941">_xlfn.IFS(B941 &lt;= 567, "Cheap", B941 &lt;= 1033, "Medium", TRUE, "Higher")</f>
        <v>Medium</v>
      </c>
    </row>
    <row r="942" spans="1:3" x14ac:dyDescent="0.25">
      <c r="A942" s="5" t="s">
        <v>91</v>
      </c>
      <c r="B942" s="6">
        <v>815</v>
      </c>
      <c r="C942" s="7" t="str" cm="1">
        <f t="array" ref="C942">_xlfn.IFS(B942 &lt;= 567, "Cheap", B942 &lt;= 1033, "Medium", TRUE, "Higher")</f>
        <v>Medium</v>
      </c>
    </row>
    <row r="943" spans="1:3" x14ac:dyDescent="0.25">
      <c r="A943" s="5" t="s">
        <v>91</v>
      </c>
      <c r="B943" s="6">
        <v>837</v>
      </c>
      <c r="C943" s="7" t="str" cm="1">
        <f t="array" ref="C943">_xlfn.IFS(B943 &lt;= 567, "Cheap", B943 &lt;= 1033, "Medium", TRUE, "Higher")</f>
        <v>Medium</v>
      </c>
    </row>
    <row r="944" spans="1:3" x14ac:dyDescent="0.25">
      <c r="A944" s="5" t="s">
        <v>91</v>
      </c>
      <c r="B944" s="6">
        <v>876</v>
      </c>
      <c r="C944" s="7" t="str" cm="1">
        <f t="array" ref="C944">_xlfn.IFS(B944 &lt;= 567, "Cheap", B944 &lt;= 1033, "Medium", TRUE, "Higher")</f>
        <v>Medium</v>
      </c>
    </row>
    <row r="945" spans="1:3" x14ac:dyDescent="0.25">
      <c r="A945" s="5" t="s">
        <v>91</v>
      </c>
      <c r="B945" s="6">
        <v>886</v>
      </c>
      <c r="C945" s="7" t="str" cm="1">
        <f t="array" ref="C945">_xlfn.IFS(B945 &lt;= 567, "Cheap", B945 &lt;= 1033, "Medium", TRUE, "Higher")</f>
        <v>Medium</v>
      </c>
    </row>
    <row r="946" spans="1:3" x14ac:dyDescent="0.25">
      <c r="A946" s="5" t="s">
        <v>91</v>
      </c>
      <c r="B946" s="6">
        <v>894</v>
      </c>
      <c r="C946" s="7" t="str" cm="1">
        <f t="array" ref="C946">_xlfn.IFS(B946 &lt;= 567, "Cheap", B946 &lt;= 1033, "Medium", TRUE, "Higher")</f>
        <v>Medium</v>
      </c>
    </row>
    <row r="947" spans="1:3" x14ac:dyDescent="0.25">
      <c r="A947" s="5" t="s">
        <v>91</v>
      </c>
      <c r="B947" s="6">
        <v>896</v>
      </c>
      <c r="C947" s="7" t="str" cm="1">
        <f t="array" ref="C947">_xlfn.IFS(B947 &lt;= 567, "Cheap", B947 &lt;= 1033, "Medium", TRUE, "Higher")</f>
        <v>Medium</v>
      </c>
    </row>
    <row r="948" spans="1:3" x14ac:dyDescent="0.25">
      <c r="A948" s="5" t="s">
        <v>91</v>
      </c>
      <c r="B948" s="6">
        <v>898</v>
      </c>
      <c r="C948" s="7" t="str" cm="1">
        <f t="array" ref="C948">_xlfn.IFS(B948 &lt;= 567, "Cheap", B948 &lt;= 1033, "Medium", TRUE, "Higher")</f>
        <v>Medium</v>
      </c>
    </row>
    <row r="949" spans="1:3" x14ac:dyDescent="0.25">
      <c r="A949" s="5" t="s">
        <v>91</v>
      </c>
      <c r="B949" s="6">
        <v>899</v>
      </c>
      <c r="C949" s="7" t="str" cm="1">
        <f t="array" ref="C949">_xlfn.IFS(B949 &lt;= 567, "Cheap", B949 &lt;= 1033, "Medium", TRUE, "Higher")</f>
        <v>Medium</v>
      </c>
    </row>
    <row r="950" spans="1:3" x14ac:dyDescent="0.25">
      <c r="A950" s="5" t="s">
        <v>91</v>
      </c>
      <c r="B950" s="6">
        <v>900</v>
      </c>
      <c r="C950" s="7" t="str" cm="1">
        <f t="array" ref="C950">_xlfn.IFS(B950 &lt;= 567, "Cheap", B950 &lt;= 1033, "Medium", TRUE, "Higher")</f>
        <v>Medium</v>
      </c>
    </row>
    <row r="951" spans="1:3" x14ac:dyDescent="0.25">
      <c r="A951" s="5" t="s">
        <v>91</v>
      </c>
      <c r="B951" s="6">
        <v>910</v>
      </c>
      <c r="C951" s="7" t="str" cm="1">
        <f t="array" ref="C951">_xlfn.IFS(B951 &lt;= 567, "Cheap", B951 &lt;= 1033, "Medium", TRUE, "Higher")</f>
        <v>Medium</v>
      </c>
    </row>
    <row r="952" spans="1:3" x14ac:dyDescent="0.25">
      <c r="A952" s="5" t="s">
        <v>91</v>
      </c>
      <c r="B952" s="6">
        <v>917</v>
      </c>
      <c r="C952" s="7" t="str" cm="1">
        <f t="array" ref="C952">_xlfn.IFS(B952 &lt;= 567, "Cheap", B952 &lt;= 1033, "Medium", TRUE, "Higher")</f>
        <v>Medium</v>
      </c>
    </row>
    <row r="953" spans="1:3" x14ac:dyDescent="0.25">
      <c r="A953" s="5" t="s">
        <v>91</v>
      </c>
      <c r="B953" s="6">
        <v>979</v>
      </c>
      <c r="C953" s="7" t="str" cm="1">
        <f t="array" ref="C953">_xlfn.IFS(B953 &lt;= 567, "Cheap", B953 &lt;= 1033, "Medium", TRUE, "Higher")</f>
        <v>Medium</v>
      </c>
    </row>
    <row r="954" spans="1:3" x14ac:dyDescent="0.25">
      <c r="A954" s="5" t="s">
        <v>91</v>
      </c>
      <c r="B954" s="6">
        <v>986</v>
      </c>
      <c r="C954" s="7" t="str" cm="1">
        <f t="array" ref="C954">_xlfn.IFS(B954 &lt;= 567, "Cheap", B954 &lt;= 1033, "Medium", TRUE, "Higher")</f>
        <v>Medium</v>
      </c>
    </row>
    <row r="955" spans="1:3" x14ac:dyDescent="0.25">
      <c r="A955" s="5" t="s">
        <v>91</v>
      </c>
      <c r="B955" s="6">
        <v>987</v>
      </c>
      <c r="C955" s="7" t="str" cm="1">
        <f t="array" ref="C955">_xlfn.IFS(B955 &lt;= 567, "Cheap", B955 &lt;= 1033, "Medium", TRUE, "Higher")</f>
        <v>Medium</v>
      </c>
    </row>
    <row r="956" spans="1:3" x14ac:dyDescent="0.25">
      <c r="A956" s="5" t="s">
        <v>91</v>
      </c>
      <c r="B956" s="6">
        <v>991</v>
      </c>
      <c r="C956" s="7" t="str" cm="1">
        <f t="array" ref="C956">_xlfn.IFS(B956 &lt;= 567, "Cheap", B956 &lt;= 1033, "Medium", TRUE, "Higher")</f>
        <v>Medium</v>
      </c>
    </row>
    <row r="957" spans="1:3" x14ac:dyDescent="0.25">
      <c r="A957" s="5" t="s">
        <v>91</v>
      </c>
      <c r="B957" s="6">
        <v>992</v>
      </c>
      <c r="C957" s="7" t="str" cm="1">
        <f t="array" ref="C957">_xlfn.IFS(B957 &lt;= 567, "Cheap", B957 &lt;= 1033, "Medium", TRUE, "Higher")</f>
        <v>Medium</v>
      </c>
    </row>
    <row r="958" spans="1:3" x14ac:dyDescent="0.25">
      <c r="A958" s="5" t="s">
        <v>33</v>
      </c>
      <c r="B958" s="6">
        <v>818</v>
      </c>
      <c r="C958" s="7" t="str" cm="1">
        <f t="array" ref="C958">_xlfn.IFS(B958 &lt;= 567, "Cheap", B958 &lt;= 1033, "Medium", TRUE, "Higher")</f>
        <v>Medium</v>
      </c>
    </row>
    <row r="959" spans="1:3" x14ac:dyDescent="0.25">
      <c r="A959" s="5" t="s">
        <v>33</v>
      </c>
      <c r="B959" s="6">
        <v>820</v>
      </c>
      <c r="C959" s="7" t="str" cm="1">
        <f t="array" ref="C959">_xlfn.IFS(B959 &lt;= 567, "Cheap", B959 &lt;= 1033, "Medium", TRUE, "Higher")</f>
        <v>Medium</v>
      </c>
    </row>
    <row r="960" spans="1:3" x14ac:dyDescent="0.25">
      <c r="A960" s="5" t="s">
        <v>33</v>
      </c>
      <c r="B960" s="6">
        <v>823</v>
      </c>
      <c r="C960" s="7" t="str" cm="1">
        <f t="array" ref="C960">_xlfn.IFS(B960 &lt;= 567, "Cheap", B960 &lt;= 1033, "Medium", TRUE, "Higher")</f>
        <v>Medium</v>
      </c>
    </row>
    <row r="961" spans="1:3" x14ac:dyDescent="0.25">
      <c r="A961" s="5" t="s">
        <v>33</v>
      </c>
      <c r="B961" s="6">
        <v>837</v>
      </c>
      <c r="C961" s="7" t="str" cm="1">
        <f t="array" ref="C961">_xlfn.IFS(B961 &lt;= 567, "Cheap", B961 &lt;= 1033, "Medium", TRUE, "Higher")</f>
        <v>Medium</v>
      </c>
    </row>
    <row r="962" spans="1:3" x14ac:dyDescent="0.25">
      <c r="A962" s="5" t="s">
        <v>33</v>
      </c>
      <c r="B962" s="6">
        <v>849</v>
      </c>
      <c r="C962" s="7" t="str" cm="1">
        <f t="array" ref="C962">_xlfn.IFS(B962 &lt;= 567, "Cheap", B962 &lt;= 1033, "Medium", TRUE, "Higher")</f>
        <v>Medium</v>
      </c>
    </row>
    <row r="963" spans="1:3" x14ac:dyDescent="0.25">
      <c r="A963" s="5" t="s">
        <v>33</v>
      </c>
      <c r="B963" s="6">
        <v>857</v>
      </c>
      <c r="C963" s="7" t="str" cm="1">
        <f t="array" ref="C963">_xlfn.IFS(B963 &lt;= 567, "Cheap", B963 &lt;= 1033, "Medium", TRUE, "Higher")</f>
        <v>Medium</v>
      </c>
    </row>
    <row r="964" spans="1:3" x14ac:dyDescent="0.25">
      <c r="A964" s="5" t="s">
        <v>33</v>
      </c>
      <c r="B964" s="6">
        <v>883</v>
      </c>
      <c r="C964" s="7" t="str" cm="1">
        <f t="array" ref="C964">_xlfn.IFS(B964 &lt;= 567, "Cheap", B964 &lt;= 1033, "Medium", TRUE, "Higher")</f>
        <v>Medium</v>
      </c>
    </row>
    <row r="965" spans="1:3" x14ac:dyDescent="0.25">
      <c r="A965" s="5" t="s">
        <v>33</v>
      </c>
      <c r="B965" s="6">
        <v>886</v>
      </c>
      <c r="C965" s="7" t="str" cm="1">
        <f t="array" ref="C965">_xlfn.IFS(B965 &lt;= 567, "Cheap", B965 &lt;= 1033, "Medium", TRUE, "Higher")</f>
        <v>Medium</v>
      </c>
    </row>
    <row r="966" spans="1:3" x14ac:dyDescent="0.25">
      <c r="A966" s="5" t="s">
        <v>33</v>
      </c>
      <c r="B966" s="6">
        <v>886</v>
      </c>
      <c r="C966" s="7" t="str" cm="1">
        <f t="array" ref="C966">_xlfn.IFS(B966 &lt;= 567, "Cheap", B966 &lt;= 1033, "Medium", TRUE, "Higher")</f>
        <v>Medium</v>
      </c>
    </row>
    <row r="967" spans="1:3" x14ac:dyDescent="0.25">
      <c r="A967" s="5" t="s">
        <v>33</v>
      </c>
      <c r="B967" s="6">
        <v>895</v>
      </c>
      <c r="C967" s="7" t="str" cm="1">
        <f t="array" ref="C967">_xlfn.IFS(B967 &lt;= 567, "Cheap", B967 &lt;= 1033, "Medium", TRUE, "Higher")</f>
        <v>Medium</v>
      </c>
    </row>
    <row r="968" spans="1:3" x14ac:dyDescent="0.25">
      <c r="A968" s="5" t="s">
        <v>33</v>
      </c>
      <c r="B968" s="6">
        <v>913</v>
      </c>
      <c r="C968" s="7" t="str" cm="1">
        <f t="array" ref="C968">_xlfn.IFS(B968 &lt;= 567, "Cheap", B968 &lt;= 1033, "Medium", TRUE, "Higher")</f>
        <v>Medium</v>
      </c>
    </row>
    <row r="969" spans="1:3" x14ac:dyDescent="0.25">
      <c r="A969" s="5" t="s">
        <v>33</v>
      </c>
      <c r="B969" s="6">
        <v>918</v>
      </c>
      <c r="C969" s="7" t="str" cm="1">
        <f t="array" ref="C969">_xlfn.IFS(B969 &lt;= 567, "Cheap", B969 &lt;= 1033, "Medium", TRUE, "Higher")</f>
        <v>Medium</v>
      </c>
    </row>
    <row r="970" spans="1:3" x14ac:dyDescent="0.25">
      <c r="A970" s="5" t="s">
        <v>33</v>
      </c>
      <c r="B970" s="6">
        <v>926</v>
      </c>
      <c r="C970" s="7" t="str" cm="1">
        <f t="array" ref="C970">_xlfn.IFS(B970 &lt;= 567, "Cheap", B970 &lt;= 1033, "Medium", TRUE, "Higher")</f>
        <v>Medium</v>
      </c>
    </row>
    <row r="971" spans="1:3" x14ac:dyDescent="0.25">
      <c r="A971" s="5" t="s">
        <v>33</v>
      </c>
      <c r="B971" s="6">
        <v>933</v>
      </c>
      <c r="C971" s="7" t="str" cm="1">
        <f t="array" ref="C971">_xlfn.IFS(B971 &lt;= 567, "Cheap", B971 &lt;= 1033, "Medium", TRUE, "Higher")</f>
        <v>Medium</v>
      </c>
    </row>
    <row r="972" spans="1:3" x14ac:dyDescent="0.25">
      <c r="A972" s="5" t="s">
        <v>33</v>
      </c>
      <c r="B972" s="6">
        <v>981</v>
      </c>
      <c r="C972" s="7" t="str" cm="1">
        <f t="array" ref="C972">_xlfn.IFS(B972 &lt;= 567, "Cheap", B972 &lt;= 1033, "Medium", TRUE, "Higher")</f>
        <v>Medium</v>
      </c>
    </row>
    <row r="973" spans="1:3" x14ac:dyDescent="0.25">
      <c r="A973" s="5" t="s">
        <v>33</v>
      </c>
      <c r="B973" s="6">
        <v>984</v>
      </c>
      <c r="C973" s="7" t="str" cm="1">
        <f t="array" ref="C973">_xlfn.IFS(B973 &lt;= 567, "Cheap", B973 &lt;= 1033, "Medium", TRUE, "Higher")</f>
        <v>Medium</v>
      </c>
    </row>
    <row r="974" spans="1:3" x14ac:dyDescent="0.25">
      <c r="A974" s="5" t="s">
        <v>33</v>
      </c>
      <c r="B974" s="6">
        <v>1009</v>
      </c>
      <c r="C974" s="7" t="str" cm="1">
        <f t="array" ref="C974">_xlfn.IFS(B974 &lt;= 567, "Cheap", B974 &lt;= 1033, "Medium", TRUE, "Higher")</f>
        <v>Medium</v>
      </c>
    </row>
    <row r="975" spans="1:3" x14ac:dyDescent="0.25">
      <c r="A975" s="5" t="s">
        <v>33</v>
      </c>
      <c r="B975" s="6">
        <v>1011</v>
      </c>
      <c r="C975" s="7" t="str" cm="1">
        <f t="array" ref="C975">_xlfn.IFS(B975 &lt;= 567, "Cheap", B975 &lt;= 1033, "Medium", TRUE, "Higher")</f>
        <v>Medium</v>
      </c>
    </row>
    <row r="976" spans="1:3" x14ac:dyDescent="0.25">
      <c r="A976" s="5" t="s">
        <v>19</v>
      </c>
      <c r="B976" s="6">
        <v>835</v>
      </c>
      <c r="C976" s="7" t="str" cm="1">
        <f t="array" ref="C976">_xlfn.IFS(B976 &lt;= 567, "Cheap", B976 &lt;= 1033, "Medium", TRUE, "Higher")</f>
        <v>Medium</v>
      </c>
    </row>
    <row r="977" spans="1:3" x14ac:dyDescent="0.25">
      <c r="A977" s="5" t="s">
        <v>19</v>
      </c>
      <c r="B977" s="6">
        <v>882</v>
      </c>
      <c r="C977" s="7" t="str" cm="1">
        <f t="array" ref="C977">_xlfn.IFS(B977 &lt;= 567, "Cheap", B977 &lt;= 1033, "Medium", TRUE, "Higher")</f>
        <v>Medium</v>
      </c>
    </row>
    <row r="978" spans="1:3" x14ac:dyDescent="0.25">
      <c r="A978" s="5" t="s">
        <v>19</v>
      </c>
      <c r="B978" s="6">
        <v>884</v>
      </c>
      <c r="C978" s="7" t="str" cm="1">
        <f t="array" ref="C978">_xlfn.IFS(B978 &lt;= 567, "Cheap", B978 &lt;= 1033, "Medium", TRUE, "Higher")</f>
        <v>Medium</v>
      </c>
    </row>
    <row r="979" spans="1:3" x14ac:dyDescent="0.25">
      <c r="A979" s="5" t="s">
        <v>19</v>
      </c>
      <c r="B979" s="6">
        <v>899</v>
      </c>
      <c r="C979" s="7" t="str" cm="1">
        <f t="array" ref="C979">_xlfn.IFS(B979 &lt;= 567, "Cheap", B979 &lt;= 1033, "Medium", TRUE, "Higher")</f>
        <v>Medium</v>
      </c>
    </row>
    <row r="980" spans="1:3" x14ac:dyDescent="0.25">
      <c r="A980" s="5" t="s">
        <v>19</v>
      </c>
      <c r="B980" s="6">
        <v>909</v>
      </c>
      <c r="C980" s="7" t="str" cm="1">
        <f t="array" ref="C980">_xlfn.IFS(B980 &lt;= 567, "Cheap", B980 &lt;= 1033, "Medium", TRUE, "Higher")</f>
        <v>Medium</v>
      </c>
    </row>
    <row r="981" spans="1:3" x14ac:dyDescent="0.25">
      <c r="A981" s="5" t="s">
        <v>19</v>
      </c>
      <c r="B981" s="6">
        <v>927</v>
      </c>
      <c r="C981" s="7" t="str" cm="1">
        <f t="array" ref="C981">_xlfn.IFS(B981 &lt;= 567, "Cheap", B981 &lt;= 1033, "Medium", TRUE, "Higher")</f>
        <v>Medium</v>
      </c>
    </row>
    <row r="982" spans="1:3" x14ac:dyDescent="0.25">
      <c r="A982" s="5" t="s">
        <v>19</v>
      </c>
      <c r="B982" s="6">
        <v>928</v>
      </c>
      <c r="C982" s="7" t="str" cm="1">
        <f t="array" ref="C982">_xlfn.IFS(B982 &lt;= 567, "Cheap", B982 &lt;= 1033, "Medium", TRUE, "Higher")</f>
        <v>Medium</v>
      </c>
    </row>
    <row r="983" spans="1:3" x14ac:dyDescent="0.25">
      <c r="A983" s="5" t="s">
        <v>19</v>
      </c>
      <c r="B983" s="6">
        <v>951</v>
      </c>
      <c r="C983" s="7" t="str" cm="1">
        <f t="array" ref="C983">_xlfn.IFS(B983 &lt;= 567, "Cheap", B983 &lt;= 1033, "Medium", TRUE, "Higher")</f>
        <v>Medium</v>
      </c>
    </row>
    <row r="984" spans="1:3" x14ac:dyDescent="0.25">
      <c r="A984" s="5" t="s">
        <v>19</v>
      </c>
      <c r="B984" s="6">
        <v>952</v>
      </c>
      <c r="C984" s="7" t="str" cm="1">
        <f t="array" ref="C984">_xlfn.IFS(B984 &lt;= 567, "Cheap", B984 &lt;= 1033, "Medium", TRUE, "Higher")</f>
        <v>Medium</v>
      </c>
    </row>
    <row r="985" spans="1:3" x14ac:dyDescent="0.25">
      <c r="A985" s="5" t="s">
        <v>19</v>
      </c>
      <c r="B985" s="6">
        <v>963</v>
      </c>
      <c r="C985" s="7" t="str" cm="1">
        <f t="array" ref="C985">_xlfn.IFS(B985 &lt;= 567, "Cheap", B985 &lt;= 1033, "Medium", TRUE, "Higher")</f>
        <v>Medium</v>
      </c>
    </row>
    <row r="986" spans="1:3" x14ac:dyDescent="0.25">
      <c r="A986" s="5" t="s">
        <v>19</v>
      </c>
      <c r="B986" s="6">
        <v>978</v>
      </c>
      <c r="C986" s="7" t="str" cm="1">
        <f t="array" ref="C986">_xlfn.IFS(B986 &lt;= 567, "Cheap", B986 &lt;= 1033, "Medium", TRUE, "Higher")</f>
        <v>Medium</v>
      </c>
    </row>
    <row r="987" spans="1:3" x14ac:dyDescent="0.25">
      <c r="A987" s="5" t="s">
        <v>19</v>
      </c>
      <c r="B987" s="6">
        <v>997</v>
      </c>
      <c r="C987" s="7" t="str" cm="1">
        <f t="array" ref="C987">_xlfn.IFS(B987 &lt;= 567, "Cheap", B987 &lt;= 1033, "Medium", TRUE, "Higher")</f>
        <v>Medium</v>
      </c>
    </row>
    <row r="988" spans="1:3" x14ac:dyDescent="0.25">
      <c r="A988" s="5" t="s">
        <v>19</v>
      </c>
      <c r="B988" s="6">
        <v>997</v>
      </c>
      <c r="C988" s="7" t="str" cm="1">
        <f t="array" ref="C988">_xlfn.IFS(B988 &lt;= 567, "Cheap", B988 &lt;= 1033, "Medium", TRUE, "Higher")</f>
        <v>Medium</v>
      </c>
    </row>
    <row r="989" spans="1:3" x14ac:dyDescent="0.25">
      <c r="A989" s="5" t="s">
        <v>19</v>
      </c>
      <c r="B989" s="6">
        <v>1008</v>
      </c>
      <c r="C989" s="7" t="str" cm="1">
        <f t="array" ref="C989">_xlfn.IFS(B989 &lt;= 567, "Cheap", B989 &lt;= 1033, "Medium", TRUE, "Higher")</f>
        <v>Medium</v>
      </c>
    </row>
    <row r="990" spans="1:3" x14ac:dyDescent="0.25">
      <c r="A990" s="5" t="s">
        <v>19</v>
      </c>
      <c r="B990" s="6">
        <v>1021</v>
      </c>
      <c r="C990" s="7" t="str" cm="1">
        <f t="array" ref="C990">_xlfn.IFS(B990 &lt;= 567, "Cheap", B990 &lt;= 1033, "Medium", TRUE, "Higher")</f>
        <v>Medium</v>
      </c>
    </row>
    <row r="991" spans="1:3" x14ac:dyDescent="0.25">
      <c r="A991" s="5" t="s">
        <v>52</v>
      </c>
      <c r="B991" s="6">
        <v>799</v>
      </c>
      <c r="C991" s="7" t="str" cm="1">
        <f t="array" ref="C991">_xlfn.IFS(B991 &lt;= 567, "Cheap", B991 &lt;= 1033, "Medium", TRUE, "Higher")</f>
        <v>Medium</v>
      </c>
    </row>
    <row r="992" spans="1:3" x14ac:dyDescent="0.25">
      <c r="A992" s="5" t="s">
        <v>24</v>
      </c>
      <c r="B992" s="6">
        <v>808</v>
      </c>
      <c r="C992" s="7" t="str" cm="1">
        <f t="array" ref="C992">_xlfn.IFS(B992 &lt;= 567, "Cheap", B992 &lt;= 1033, "Medium", TRUE, "Higher")</f>
        <v>Medium</v>
      </c>
    </row>
    <row r="993" spans="1:3" x14ac:dyDescent="0.25">
      <c r="A993" s="5" t="s">
        <v>11</v>
      </c>
      <c r="B993" s="6">
        <v>795</v>
      </c>
      <c r="C993" s="7" t="str" cm="1">
        <f t="array" ref="C993">_xlfn.IFS(B993 &lt;= 567, "Cheap", B993 &lt;= 1033, "Medium", TRUE, "Higher")</f>
        <v>Medium</v>
      </c>
    </row>
    <row r="994" spans="1:3" x14ac:dyDescent="0.25">
      <c r="A994" s="5" t="s">
        <v>11</v>
      </c>
      <c r="B994" s="6">
        <v>804</v>
      </c>
      <c r="C994" s="7" t="str" cm="1">
        <f t="array" ref="C994">_xlfn.IFS(B994 &lt;= 567, "Cheap", B994 &lt;= 1033, "Medium", TRUE, "Higher")</f>
        <v>Medium</v>
      </c>
    </row>
    <row r="995" spans="1:3" x14ac:dyDescent="0.25">
      <c r="A995" s="5" t="s">
        <v>11</v>
      </c>
      <c r="B995" s="6">
        <v>809</v>
      </c>
      <c r="C995" s="7" t="str" cm="1">
        <f t="array" ref="C995">_xlfn.IFS(B995 &lt;= 567, "Cheap", B995 &lt;= 1033, "Medium", TRUE, "Higher")</f>
        <v>Medium</v>
      </c>
    </row>
    <row r="996" spans="1:3" x14ac:dyDescent="0.25">
      <c r="A996" s="5" t="s">
        <v>91</v>
      </c>
      <c r="B996" s="6">
        <v>793</v>
      </c>
      <c r="C996" s="7" t="str" cm="1">
        <f t="array" ref="C996">_xlfn.IFS(B996 &lt;= 567, "Cheap", B996 &lt;= 1033, "Medium", TRUE, "Higher")</f>
        <v>Medium</v>
      </c>
    </row>
    <row r="997" spans="1:3" x14ac:dyDescent="0.25">
      <c r="A997" s="5" t="s">
        <v>91</v>
      </c>
      <c r="B997" s="6">
        <v>811</v>
      </c>
      <c r="C997" s="7" t="str" cm="1">
        <f t="array" ref="C997">_xlfn.IFS(B997 &lt;= 567, "Cheap", B997 &lt;= 1033, "Medium", TRUE, "Higher")</f>
        <v>Medium</v>
      </c>
    </row>
    <row r="998" spans="1:3" x14ac:dyDescent="0.25">
      <c r="A998" s="5" t="s">
        <v>33</v>
      </c>
      <c r="B998" s="6">
        <v>804</v>
      </c>
      <c r="C998" s="7" t="str" cm="1">
        <f t="array" ref="C998">_xlfn.IFS(B998 &lt;= 567, "Cheap", B998 &lt;= 1033, "Medium", TRUE, "Higher")</f>
        <v>Medium</v>
      </c>
    </row>
    <row r="999" spans="1:3" x14ac:dyDescent="0.25">
      <c r="A999" s="5" t="s">
        <v>19</v>
      </c>
      <c r="B999" s="6">
        <v>794</v>
      </c>
      <c r="C999" s="7" t="str" cm="1">
        <f t="array" ref="C999">_xlfn.IFS(B999 &lt;= 567, "Cheap", B999 &lt;= 1033, "Medium", TRUE, "Higher")</f>
        <v>Medium</v>
      </c>
    </row>
    <row r="1000" spans="1:3" x14ac:dyDescent="0.25">
      <c r="A1000" s="5" t="s">
        <v>19</v>
      </c>
      <c r="B1000" s="6">
        <v>800</v>
      </c>
      <c r="C1000" s="7" t="str" cm="1">
        <f t="array" ref="C1000">_xlfn.IFS(B1000 &lt;= 567, "Cheap", B1000 &lt;= 1033, "Medium", TRUE, "Higher")</f>
        <v>Medium</v>
      </c>
    </row>
    <row r="1001" spans="1:3" x14ac:dyDescent="0.25">
      <c r="A1001" s="5" t="s">
        <v>19</v>
      </c>
      <c r="B1001" s="6">
        <v>803</v>
      </c>
      <c r="C1001" s="7" t="str" cm="1">
        <f t="array" ref="C1001">_xlfn.IFS(B1001 &lt;= 567, "Cheap", B1001 &lt;= 1033, "Medium", TRUE, "Higher")</f>
        <v>Medium</v>
      </c>
    </row>
  </sheetData>
  <sortState xmlns:xlrd2="http://schemas.microsoft.com/office/spreadsheetml/2017/richdata2" ref="A2:C1001">
    <sortCondition ref="C2:C1001"/>
  </sortState>
  <mergeCells count="6">
    <mergeCell ref="E4:E15"/>
    <mergeCell ref="E18:E29"/>
    <mergeCell ref="E32:E43"/>
    <mergeCell ref="G32:H32"/>
    <mergeCell ref="G18:H18"/>
    <mergeCell ref="G4:H4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0FB8-5F34-48C2-9255-3F6FF8295AB6}">
  <dimension ref="A1:Q1001"/>
  <sheetViews>
    <sheetView tabSelected="1" workbookViewId="0">
      <selection activeCell="N14" sqref="N14"/>
    </sheetView>
  </sheetViews>
  <sheetFormatPr defaultRowHeight="14.4" x14ac:dyDescent="0.3"/>
  <cols>
    <col min="1" max="1" width="15" customWidth="1"/>
    <col min="2" max="2" width="14.88671875" customWidth="1"/>
    <col min="3" max="3" width="15" customWidth="1"/>
    <col min="4" max="4" width="16.5546875" customWidth="1"/>
  </cols>
  <sheetData>
    <row r="1" spans="1:4" x14ac:dyDescent="0.3">
      <c r="A1" s="19" t="s">
        <v>3</v>
      </c>
      <c r="B1" s="19" t="s">
        <v>4</v>
      </c>
      <c r="C1" s="19" t="s">
        <v>5</v>
      </c>
      <c r="D1" s="19" t="s">
        <v>6</v>
      </c>
    </row>
    <row r="2" spans="1:4" x14ac:dyDescent="0.3">
      <c r="A2" s="22">
        <v>1024</v>
      </c>
      <c r="B2" s="22">
        <v>50</v>
      </c>
      <c r="C2" s="22">
        <v>5000</v>
      </c>
      <c r="D2" s="22">
        <v>5.6</v>
      </c>
    </row>
    <row r="3" spans="1:4" x14ac:dyDescent="0.3">
      <c r="A3" s="22">
        <v>128</v>
      </c>
      <c r="B3" s="22">
        <v>48</v>
      </c>
      <c r="C3" s="22">
        <v>5500</v>
      </c>
      <c r="D3" s="22">
        <v>7</v>
      </c>
    </row>
    <row r="4" spans="1:4" x14ac:dyDescent="0.3">
      <c r="A4" s="22">
        <v>64</v>
      </c>
      <c r="B4" s="22">
        <v>12</v>
      </c>
      <c r="C4" s="22">
        <v>5000</v>
      </c>
      <c r="D4" s="22">
        <v>6.4</v>
      </c>
    </row>
    <row r="5" spans="1:4" x14ac:dyDescent="0.3">
      <c r="A5" s="22">
        <v>64</v>
      </c>
      <c r="B5" s="22">
        <v>64</v>
      </c>
      <c r="C5" s="22">
        <v>6000</v>
      </c>
      <c r="D5" s="22">
        <v>6.3</v>
      </c>
    </row>
    <row r="6" spans="1:4" x14ac:dyDescent="0.3">
      <c r="A6" s="22">
        <v>1024</v>
      </c>
      <c r="B6" s="22">
        <v>108</v>
      </c>
      <c r="C6" s="22">
        <v>4500</v>
      </c>
      <c r="D6" s="22">
        <v>7.1</v>
      </c>
    </row>
    <row r="7" spans="1:4" x14ac:dyDescent="0.3">
      <c r="A7" s="22">
        <v>512</v>
      </c>
      <c r="B7" s="22">
        <v>50</v>
      </c>
      <c r="C7" s="22">
        <v>5500</v>
      </c>
      <c r="D7" s="22">
        <v>5.7</v>
      </c>
    </row>
    <row r="8" spans="1:4" x14ac:dyDescent="0.3">
      <c r="A8" s="22">
        <v>1024</v>
      </c>
      <c r="B8" s="22">
        <v>50</v>
      </c>
      <c r="C8" s="22">
        <v>5500</v>
      </c>
      <c r="D8" s="22">
        <v>6.7</v>
      </c>
    </row>
    <row r="9" spans="1:4" x14ac:dyDescent="0.3">
      <c r="A9" s="22">
        <v>256</v>
      </c>
      <c r="B9" s="22">
        <v>200</v>
      </c>
      <c r="C9" s="22">
        <v>4000</v>
      </c>
      <c r="D9" s="22">
        <v>5.5</v>
      </c>
    </row>
    <row r="10" spans="1:4" x14ac:dyDescent="0.3">
      <c r="A10" s="22">
        <v>512</v>
      </c>
      <c r="B10" s="22">
        <v>12</v>
      </c>
      <c r="C10" s="22">
        <v>4500</v>
      </c>
      <c r="D10" s="22">
        <v>6.7</v>
      </c>
    </row>
    <row r="11" spans="1:4" x14ac:dyDescent="0.3">
      <c r="A11" s="22">
        <v>64</v>
      </c>
      <c r="B11" s="22">
        <v>50</v>
      </c>
      <c r="C11" s="22">
        <v>6000</v>
      </c>
      <c r="D11" s="22">
        <v>6</v>
      </c>
    </row>
    <row r="12" spans="1:4" x14ac:dyDescent="0.3">
      <c r="A12" s="22">
        <v>64</v>
      </c>
      <c r="B12" s="22">
        <v>48</v>
      </c>
      <c r="C12" s="22">
        <v>6000</v>
      </c>
      <c r="D12" s="22">
        <v>6.2</v>
      </c>
    </row>
    <row r="13" spans="1:4" x14ac:dyDescent="0.3">
      <c r="A13" s="22">
        <v>1024</v>
      </c>
      <c r="B13" s="22">
        <v>12</v>
      </c>
      <c r="C13" s="22">
        <v>5500</v>
      </c>
      <c r="D13" s="22">
        <v>6.6</v>
      </c>
    </row>
    <row r="14" spans="1:4" x14ac:dyDescent="0.3">
      <c r="A14" s="22">
        <v>512</v>
      </c>
      <c r="B14" s="22">
        <v>108</v>
      </c>
      <c r="C14" s="22">
        <v>4500</v>
      </c>
      <c r="D14" s="22">
        <v>5.5</v>
      </c>
    </row>
    <row r="15" spans="1:4" x14ac:dyDescent="0.3">
      <c r="A15" s="22">
        <v>64</v>
      </c>
      <c r="B15" s="22">
        <v>48</v>
      </c>
      <c r="C15" s="22">
        <v>4000</v>
      </c>
      <c r="D15" s="22">
        <v>5.8</v>
      </c>
    </row>
    <row r="16" spans="1:4" x14ac:dyDescent="0.3">
      <c r="A16" s="22">
        <v>512</v>
      </c>
      <c r="B16" s="22">
        <v>48</v>
      </c>
      <c r="C16" s="22">
        <v>5000</v>
      </c>
      <c r="D16" s="22">
        <v>6.7</v>
      </c>
    </row>
    <row r="17" spans="1:17" x14ac:dyDescent="0.3">
      <c r="A17" s="22">
        <v>128</v>
      </c>
      <c r="B17" s="22">
        <v>64</v>
      </c>
      <c r="C17" s="22">
        <v>5000</v>
      </c>
      <c r="D17" s="22">
        <v>6.4</v>
      </c>
      <c r="N17" s="52" t="s">
        <v>1082</v>
      </c>
      <c r="O17" s="52"/>
      <c r="P17" s="52"/>
      <c r="Q17" s="52"/>
    </row>
    <row r="18" spans="1:17" x14ac:dyDescent="0.3">
      <c r="A18" s="22">
        <v>64</v>
      </c>
      <c r="B18" s="22">
        <v>200</v>
      </c>
      <c r="C18" s="22">
        <v>6000</v>
      </c>
      <c r="D18" s="22">
        <v>6.7</v>
      </c>
      <c r="N18" s="52"/>
      <c r="O18" s="52"/>
      <c r="P18" s="52"/>
      <c r="Q18" s="52"/>
    </row>
    <row r="19" spans="1:17" x14ac:dyDescent="0.3">
      <c r="A19" s="22">
        <v>128</v>
      </c>
      <c r="B19" s="22">
        <v>64</v>
      </c>
      <c r="C19" s="22">
        <v>4000</v>
      </c>
      <c r="D19" s="22">
        <v>6.2</v>
      </c>
      <c r="N19" s="52"/>
      <c r="O19" s="52"/>
      <c r="P19" s="52"/>
      <c r="Q19" s="52"/>
    </row>
    <row r="20" spans="1:17" x14ac:dyDescent="0.3">
      <c r="A20" s="22">
        <v>1024</v>
      </c>
      <c r="B20" s="22">
        <v>64</v>
      </c>
      <c r="C20" s="22">
        <v>6000</v>
      </c>
      <c r="D20" s="22">
        <v>5.5</v>
      </c>
      <c r="N20" s="52"/>
      <c r="O20" s="52"/>
      <c r="P20" s="52"/>
      <c r="Q20" s="52"/>
    </row>
    <row r="21" spans="1:17" x14ac:dyDescent="0.3">
      <c r="A21" s="22">
        <v>512</v>
      </c>
      <c r="B21" s="22">
        <v>200</v>
      </c>
      <c r="C21" s="22">
        <v>4000</v>
      </c>
      <c r="D21" s="22">
        <v>5.6</v>
      </c>
      <c r="N21" s="52"/>
      <c r="O21" s="52"/>
      <c r="P21" s="52"/>
      <c r="Q21" s="52"/>
    </row>
    <row r="22" spans="1:17" x14ac:dyDescent="0.3">
      <c r="A22" s="22">
        <v>256</v>
      </c>
      <c r="B22" s="22">
        <v>200</v>
      </c>
      <c r="C22" s="22">
        <v>5500</v>
      </c>
      <c r="D22" s="22">
        <v>5.7</v>
      </c>
      <c r="N22" s="52"/>
      <c r="O22" s="52"/>
      <c r="P22" s="52"/>
      <c r="Q22" s="52"/>
    </row>
    <row r="23" spans="1:17" x14ac:dyDescent="0.3">
      <c r="A23" s="22">
        <v>512</v>
      </c>
      <c r="B23" s="22">
        <v>48</v>
      </c>
      <c r="C23" s="22">
        <v>5000</v>
      </c>
      <c r="D23" s="22">
        <v>5.6</v>
      </c>
    </row>
    <row r="24" spans="1:17" x14ac:dyDescent="0.3">
      <c r="A24" s="22">
        <v>64</v>
      </c>
      <c r="B24" s="22">
        <v>200</v>
      </c>
      <c r="C24" s="22">
        <v>5000</v>
      </c>
      <c r="D24" s="22">
        <v>6.3</v>
      </c>
    </row>
    <row r="25" spans="1:17" x14ac:dyDescent="0.3">
      <c r="A25" s="22">
        <v>1024</v>
      </c>
      <c r="B25" s="22">
        <v>200</v>
      </c>
      <c r="C25" s="22">
        <v>6000</v>
      </c>
      <c r="D25" s="22">
        <v>6.6</v>
      </c>
    </row>
    <row r="26" spans="1:17" x14ac:dyDescent="0.3">
      <c r="A26" s="22">
        <v>64</v>
      </c>
      <c r="B26" s="22">
        <v>48</v>
      </c>
      <c r="C26" s="22">
        <v>4000</v>
      </c>
      <c r="D26" s="22">
        <v>6.3</v>
      </c>
    </row>
    <row r="27" spans="1:17" x14ac:dyDescent="0.3">
      <c r="A27" s="22">
        <v>128</v>
      </c>
      <c r="B27" s="22">
        <v>48</v>
      </c>
      <c r="C27" s="22">
        <v>4000</v>
      </c>
      <c r="D27" s="22">
        <v>6.9</v>
      </c>
    </row>
    <row r="28" spans="1:17" x14ac:dyDescent="0.3">
      <c r="A28" s="22">
        <v>256</v>
      </c>
      <c r="B28" s="22">
        <v>50</v>
      </c>
      <c r="C28" s="22">
        <v>5500</v>
      </c>
      <c r="D28" s="22">
        <v>6.7</v>
      </c>
    </row>
    <row r="29" spans="1:17" x14ac:dyDescent="0.3">
      <c r="A29" s="22">
        <v>64</v>
      </c>
      <c r="B29" s="22">
        <v>48</v>
      </c>
      <c r="C29" s="22">
        <v>5000</v>
      </c>
      <c r="D29" s="22">
        <v>5.6</v>
      </c>
    </row>
    <row r="30" spans="1:17" x14ac:dyDescent="0.3">
      <c r="A30" s="22">
        <v>64</v>
      </c>
      <c r="B30" s="22">
        <v>48</v>
      </c>
      <c r="C30" s="22">
        <v>4500</v>
      </c>
      <c r="D30" s="22">
        <v>5.8</v>
      </c>
    </row>
    <row r="31" spans="1:17" x14ac:dyDescent="0.3">
      <c r="A31" s="22">
        <v>64</v>
      </c>
      <c r="B31" s="22">
        <v>50</v>
      </c>
      <c r="C31" s="22">
        <v>4000</v>
      </c>
      <c r="D31" s="22">
        <v>6.3</v>
      </c>
    </row>
    <row r="32" spans="1:17" x14ac:dyDescent="0.3">
      <c r="A32" s="22">
        <v>64</v>
      </c>
      <c r="B32" s="22">
        <v>50</v>
      </c>
      <c r="C32" s="22">
        <v>4500</v>
      </c>
      <c r="D32" s="22">
        <v>5.9</v>
      </c>
    </row>
    <row r="33" spans="1:4" x14ac:dyDescent="0.3">
      <c r="A33" s="22">
        <v>64</v>
      </c>
      <c r="B33" s="22">
        <v>64</v>
      </c>
      <c r="C33" s="22">
        <v>5500</v>
      </c>
      <c r="D33" s="22">
        <v>6.4</v>
      </c>
    </row>
    <row r="34" spans="1:4" x14ac:dyDescent="0.3">
      <c r="A34" s="22">
        <v>128</v>
      </c>
      <c r="B34" s="22">
        <v>108</v>
      </c>
      <c r="C34" s="22">
        <v>4500</v>
      </c>
      <c r="D34" s="22">
        <v>7</v>
      </c>
    </row>
    <row r="35" spans="1:4" x14ac:dyDescent="0.3">
      <c r="A35" s="22">
        <v>512</v>
      </c>
      <c r="B35" s="22">
        <v>200</v>
      </c>
      <c r="C35" s="22">
        <v>4500</v>
      </c>
      <c r="D35" s="22">
        <v>6</v>
      </c>
    </row>
    <row r="36" spans="1:4" x14ac:dyDescent="0.3">
      <c r="A36" s="22">
        <v>1024</v>
      </c>
      <c r="B36" s="22">
        <v>200</v>
      </c>
      <c r="C36" s="22">
        <v>4500</v>
      </c>
      <c r="D36" s="22">
        <v>6.5</v>
      </c>
    </row>
    <row r="37" spans="1:4" x14ac:dyDescent="0.3">
      <c r="A37" s="22">
        <v>1024</v>
      </c>
      <c r="B37" s="22">
        <v>200</v>
      </c>
      <c r="C37" s="22">
        <v>5500</v>
      </c>
      <c r="D37" s="22">
        <v>5.7</v>
      </c>
    </row>
    <row r="38" spans="1:4" x14ac:dyDescent="0.3">
      <c r="A38" s="22">
        <v>512</v>
      </c>
      <c r="B38" s="22">
        <v>108</v>
      </c>
      <c r="C38" s="22">
        <v>5500</v>
      </c>
      <c r="D38" s="22">
        <v>7.1</v>
      </c>
    </row>
    <row r="39" spans="1:4" x14ac:dyDescent="0.3">
      <c r="A39" s="22">
        <v>512</v>
      </c>
      <c r="B39" s="22">
        <v>108</v>
      </c>
      <c r="C39" s="22">
        <v>4500</v>
      </c>
      <c r="D39" s="22">
        <v>6.1</v>
      </c>
    </row>
    <row r="40" spans="1:4" x14ac:dyDescent="0.3">
      <c r="A40" s="22">
        <v>128</v>
      </c>
      <c r="B40" s="22">
        <v>108</v>
      </c>
      <c r="C40" s="22">
        <v>5500</v>
      </c>
      <c r="D40" s="22">
        <v>6.3</v>
      </c>
    </row>
    <row r="41" spans="1:4" x14ac:dyDescent="0.3">
      <c r="A41" s="22">
        <v>1024</v>
      </c>
      <c r="B41" s="22">
        <v>12</v>
      </c>
      <c r="C41" s="22">
        <v>4500</v>
      </c>
      <c r="D41" s="22">
        <v>6.2</v>
      </c>
    </row>
    <row r="42" spans="1:4" x14ac:dyDescent="0.3">
      <c r="A42" s="22">
        <v>64</v>
      </c>
      <c r="B42" s="22">
        <v>108</v>
      </c>
      <c r="C42" s="22">
        <v>4000</v>
      </c>
      <c r="D42" s="22">
        <v>6.4</v>
      </c>
    </row>
    <row r="43" spans="1:4" x14ac:dyDescent="0.3">
      <c r="A43" s="22">
        <v>128</v>
      </c>
      <c r="B43" s="22">
        <v>48</v>
      </c>
      <c r="C43" s="22">
        <v>4000</v>
      </c>
      <c r="D43" s="22">
        <v>6.8</v>
      </c>
    </row>
    <row r="44" spans="1:4" x14ac:dyDescent="0.3">
      <c r="A44" s="22">
        <v>64</v>
      </c>
      <c r="B44" s="22">
        <v>64</v>
      </c>
      <c r="C44" s="22">
        <v>5500</v>
      </c>
      <c r="D44" s="22">
        <v>5.6</v>
      </c>
    </row>
    <row r="45" spans="1:4" x14ac:dyDescent="0.3">
      <c r="A45" s="22">
        <v>64</v>
      </c>
      <c r="B45" s="22">
        <v>64</v>
      </c>
      <c r="C45" s="22">
        <v>5000</v>
      </c>
      <c r="D45" s="22">
        <v>7.2</v>
      </c>
    </row>
    <row r="46" spans="1:4" x14ac:dyDescent="0.3">
      <c r="A46" s="22">
        <v>256</v>
      </c>
      <c r="B46" s="22">
        <v>200</v>
      </c>
      <c r="C46" s="22">
        <v>6000</v>
      </c>
      <c r="D46" s="22">
        <v>6.2</v>
      </c>
    </row>
    <row r="47" spans="1:4" x14ac:dyDescent="0.3">
      <c r="A47" s="22">
        <v>512</v>
      </c>
      <c r="B47" s="22">
        <v>48</v>
      </c>
      <c r="C47" s="22">
        <v>4000</v>
      </c>
      <c r="D47" s="22">
        <v>6.6</v>
      </c>
    </row>
    <row r="48" spans="1:4" x14ac:dyDescent="0.3">
      <c r="A48" s="22">
        <v>64</v>
      </c>
      <c r="B48" s="22">
        <v>50</v>
      </c>
      <c r="C48" s="22">
        <v>6000</v>
      </c>
      <c r="D48" s="22">
        <v>6.5</v>
      </c>
    </row>
    <row r="49" spans="1:4" x14ac:dyDescent="0.3">
      <c r="A49" s="22">
        <v>64</v>
      </c>
      <c r="B49" s="22">
        <v>64</v>
      </c>
      <c r="C49" s="22">
        <v>6000</v>
      </c>
      <c r="D49" s="22">
        <v>6.6</v>
      </c>
    </row>
    <row r="50" spans="1:4" x14ac:dyDescent="0.3">
      <c r="A50" s="22">
        <v>128</v>
      </c>
      <c r="B50" s="22">
        <v>12</v>
      </c>
      <c r="C50" s="22">
        <v>5500</v>
      </c>
      <c r="D50" s="22">
        <v>5.9</v>
      </c>
    </row>
    <row r="51" spans="1:4" x14ac:dyDescent="0.3">
      <c r="A51" s="22">
        <v>64</v>
      </c>
      <c r="B51" s="22">
        <v>12</v>
      </c>
      <c r="C51" s="22">
        <v>6000</v>
      </c>
      <c r="D51" s="22">
        <v>6.4</v>
      </c>
    </row>
    <row r="52" spans="1:4" x14ac:dyDescent="0.3">
      <c r="A52" s="22">
        <v>256</v>
      </c>
      <c r="B52" s="22">
        <v>48</v>
      </c>
      <c r="C52" s="22">
        <v>4000</v>
      </c>
      <c r="D52" s="22">
        <v>6.7</v>
      </c>
    </row>
    <row r="53" spans="1:4" x14ac:dyDescent="0.3">
      <c r="A53" s="22">
        <v>128</v>
      </c>
      <c r="B53" s="22">
        <v>64</v>
      </c>
      <c r="C53" s="22">
        <v>4000</v>
      </c>
      <c r="D53" s="22">
        <v>6.8</v>
      </c>
    </row>
    <row r="54" spans="1:4" x14ac:dyDescent="0.3">
      <c r="A54" s="22">
        <v>256</v>
      </c>
      <c r="B54" s="22">
        <v>48</v>
      </c>
      <c r="C54" s="22">
        <v>4000</v>
      </c>
      <c r="D54" s="22">
        <v>6.1</v>
      </c>
    </row>
    <row r="55" spans="1:4" x14ac:dyDescent="0.3">
      <c r="A55" s="22">
        <v>64</v>
      </c>
      <c r="B55" s="22">
        <v>64</v>
      </c>
      <c r="C55" s="22">
        <v>5000</v>
      </c>
      <c r="D55" s="22">
        <v>6</v>
      </c>
    </row>
    <row r="56" spans="1:4" x14ac:dyDescent="0.3">
      <c r="A56" s="22">
        <v>512</v>
      </c>
      <c r="B56" s="22">
        <v>48</v>
      </c>
      <c r="C56" s="22">
        <v>5500</v>
      </c>
      <c r="D56" s="22">
        <v>6.6</v>
      </c>
    </row>
    <row r="57" spans="1:4" x14ac:dyDescent="0.3">
      <c r="A57" s="22">
        <v>64</v>
      </c>
      <c r="B57" s="22">
        <v>48</v>
      </c>
      <c r="C57" s="22">
        <v>5000</v>
      </c>
      <c r="D57" s="22">
        <v>5.8</v>
      </c>
    </row>
    <row r="58" spans="1:4" x14ac:dyDescent="0.3">
      <c r="A58" s="22">
        <v>64</v>
      </c>
      <c r="B58" s="22">
        <v>200</v>
      </c>
      <c r="C58" s="22">
        <v>5500</v>
      </c>
      <c r="D58" s="22">
        <v>5.8</v>
      </c>
    </row>
    <row r="59" spans="1:4" x14ac:dyDescent="0.3">
      <c r="A59" s="22">
        <v>128</v>
      </c>
      <c r="B59" s="22">
        <v>48</v>
      </c>
      <c r="C59" s="22">
        <v>4500</v>
      </c>
      <c r="D59" s="22">
        <v>5.8</v>
      </c>
    </row>
    <row r="60" spans="1:4" x14ac:dyDescent="0.3">
      <c r="A60" s="22">
        <v>1024</v>
      </c>
      <c r="B60" s="22">
        <v>50</v>
      </c>
      <c r="C60" s="22">
        <v>5000</v>
      </c>
      <c r="D60" s="22">
        <v>6.3</v>
      </c>
    </row>
    <row r="61" spans="1:4" x14ac:dyDescent="0.3">
      <c r="A61" s="22">
        <v>512</v>
      </c>
      <c r="B61" s="22">
        <v>108</v>
      </c>
      <c r="C61" s="22">
        <v>5500</v>
      </c>
      <c r="D61" s="22">
        <v>5.6</v>
      </c>
    </row>
    <row r="62" spans="1:4" x14ac:dyDescent="0.3">
      <c r="A62" s="22">
        <v>256</v>
      </c>
      <c r="B62" s="22">
        <v>200</v>
      </c>
      <c r="C62" s="22">
        <v>5000</v>
      </c>
      <c r="D62" s="22">
        <v>5.6</v>
      </c>
    </row>
    <row r="63" spans="1:4" x14ac:dyDescent="0.3">
      <c r="A63" s="22">
        <v>1024</v>
      </c>
      <c r="B63" s="22">
        <v>64</v>
      </c>
      <c r="C63" s="22">
        <v>5000</v>
      </c>
      <c r="D63" s="22">
        <v>5.6</v>
      </c>
    </row>
    <row r="64" spans="1:4" x14ac:dyDescent="0.3">
      <c r="A64" s="22">
        <v>512</v>
      </c>
      <c r="B64" s="22">
        <v>108</v>
      </c>
      <c r="C64" s="22">
        <v>4000</v>
      </c>
      <c r="D64" s="22">
        <v>6.7</v>
      </c>
    </row>
    <row r="65" spans="1:4" x14ac:dyDescent="0.3">
      <c r="A65" s="22">
        <v>64</v>
      </c>
      <c r="B65" s="22">
        <v>200</v>
      </c>
      <c r="C65" s="22">
        <v>5000</v>
      </c>
      <c r="D65" s="22">
        <v>6</v>
      </c>
    </row>
    <row r="66" spans="1:4" x14ac:dyDescent="0.3">
      <c r="A66" s="22">
        <v>128</v>
      </c>
      <c r="B66" s="22">
        <v>48</v>
      </c>
      <c r="C66" s="22">
        <v>5000</v>
      </c>
      <c r="D66" s="22">
        <v>5.6</v>
      </c>
    </row>
    <row r="67" spans="1:4" x14ac:dyDescent="0.3">
      <c r="A67" s="22">
        <v>128</v>
      </c>
      <c r="B67" s="22">
        <v>64</v>
      </c>
      <c r="C67" s="22">
        <v>6000</v>
      </c>
      <c r="D67" s="22">
        <v>7.2</v>
      </c>
    </row>
    <row r="68" spans="1:4" x14ac:dyDescent="0.3">
      <c r="A68" s="22">
        <v>512</v>
      </c>
      <c r="B68" s="22">
        <v>12</v>
      </c>
      <c r="C68" s="22">
        <v>4500</v>
      </c>
      <c r="D68" s="22">
        <v>6.9</v>
      </c>
    </row>
    <row r="69" spans="1:4" x14ac:dyDescent="0.3">
      <c r="A69" s="22">
        <v>1024</v>
      </c>
      <c r="B69" s="22">
        <v>108</v>
      </c>
      <c r="C69" s="22">
        <v>6000</v>
      </c>
      <c r="D69" s="22">
        <v>7</v>
      </c>
    </row>
    <row r="70" spans="1:4" x14ac:dyDescent="0.3">
      <c r="A70" s="22">
        <v>128</v>
      </c>
      <c r="B70" s="22">
        <v>64</v>
      </c>
      <c r="C70" s="22">
        <v>5500</v>
      </c>
      <c r="D70" s="22">
        <v>6.1</v>
      </c>
    </row>
    <row r="71" spans="1:4" x14ac:dyDescent="0.3">
      <c r="A71" s="22">
        <v>512</v>
      </c>
      <c r="B71" s="22">
        <v>48</v>
      </c>
      <c r="C71" s="22">
        <v>6000</v>
      </c>
      <c r="D71" s="22">
        <v>6.9</v>
      </c>
    </row>
    <row r="72" spans="1:4" x14ac:dyDescent="0.3">
      <c r="A72" s="22">
        <v>1024</v>
      </c>
      <c r="B72" s="22">
        <v>200</v>
      </c>
      <c r="C72" s="22">
        <v>4000</v>
      </c>
      <c r="D72" s="22">
        <v>6.6</v>
      </c>
    </row>
    <row r="73" spans="1:4" x14ac:dyDescent="0.3">
      <c r="A73" s="22">
        <v>1024</v>
      </c>
      <c r="B73" s="22">
        <v>200</v>
      </c>
      <c r="C73" s="22">
        <v>5000</v>
      </c>
      <c r="D73" s="22">
        <v>6.7</v>
      </c>
    </row>
    <row r="74" spans="1:4" x14ac:dyDescent="0.3">
      <c r="A74" s="22">
        <v>512</v>
      </c>
      <c r="B74" s="22">
        <v>48</v>
      </c>
      <c r="C74" s="22">
        <v>5500</v>
      </c>
      <c r="D74" s="22">
        <v>6.3</v>
      </c>
    </row>
    <row r="75" spans="1:4" x14ac:dyDescent="0.3">
      <c r="A75" s="22">
        <v>512</v>
      </c>
      <c r="B75" s="22">
        <v>12</v>
      </c>
      <c r="C75" s="22">
        <v>5000</v>
      </c>
      <c r="D75" s="22">
        <v>6.8</v>
      </c>
    </row>
    <row r="76" spans="1:4" x14ac:dyDescent="0.3">
      <c r="A76" s="22">
        <v>1024</v>
      </c>
      <c r="B76" s="22">
        <v>48</v>
      </c>
      <c r="C76" s="22">
        <v>4500</v>
      </c>
      <c r="D76" s="22">
        <v>6.5</v>
      </c>
    </row>
    <row r="77" spans="1:4" x14ac:dyDescent="0.3">
      <c r="A77" s="22">
        <v>64</v>
      </c>
      <c r="B77" s="22">
        <v>12</v>
      </c>
      <c r="C77" s="22">
        <v>5500</v>
      </c>
      <c r="D77" s="22">
        <v>5.7</v>
      </c>
    </row>
    <row r="78" spans="1:4" x14ac:dyDescent="0.3">
      <c r="A78" s="22">
        <v>64</v>
      </c>
      <c r="B78" s="22">
        <v>48</v>
      </c>
      <c r="C78" s="22">
        <v>5500</v>
      </c>
      <c r="D78" s="22">
        <v>6.6</v>
      </c>
    </row>
    <row r="79" spans="1:4" x14ac:dyDescent="0.3">
      <c r="A79" s="22">
        <v>256</v>
      </c>
      <c r="B79" s="22">
        <v>64</v>
      </c>
      <c r="C79" s="22">
        <v>4500</v>
      </c>
      <c r="D79" s="22">
        <v>6.9</v>
      </c>
    </row>
    <row r="80" spans="1:4" x14ac:dyDescent="0.3">
      <c r="A80" s="22">
        <v>128</v>
      </c>
      <c r="B80" s="22">
        <v>48</v>
      </c>
      <c r="C80" s="22">
        <v>5500</v>
      </c>
      <c r="D80" s="22">
        <v>5.9</v>
      </c>
    </row>
    <row r="81" spans="1:4" x14ac:dyDescent="0.3">
      <c r="A81" s="22">
        <v>256</v>
      </c>
      <c r="B81" s="22">
        <v>64</v>
      </c>
      <c r="C81" s="22">
        <v>5000</v>
      </c>
      <c r="D81" s="22">
        <v>6</v>
      </c>
    </row>
    <row r="82" spans="1:4" x14ac:dyDescent="0.3">
      <c r="A82" s="22">
        <v>64</v>
      </c>
      <c r="B82" s="22">
        <v>48</v>
      </c>
      <c r="C82" s="22">
        <v>5000</v>
      </c>
      <c r="D82" s="22">
        <v>6.1</v>
      </c>
    </row>
    <row r="83" spans="1:4" x14ac:dyDescent="0.3">
      <c r="A83" s="22">
        <v>512</v>
      </c>
      <c r="B83" s="22">
        <v>12</v>
      </c>
      <c r="C83" s="22">
        <v>6000</v>
      </c>
      <c r="D83" s="22">
        <v>7.1</v>
      </c>
    </row>
    <row r="84" spans="1:4" x14ac:dyDescent="0.3">
      <c r="A84" s="22">
        <v>128</v>
      </c>
      <c r="B84" s="22">
        <v>200</v>
      </c>
      <c r="C84" s="22">
        <v>6000</v>
      </c>
      <c r="D84" s="22">
        <v>7.1</v>
      </c>
    </row>
    <row r="85" spans="1:4" x14ac:dyDescent="0.3">
      <c r="A85" s="22">
        <v>64</v>
      </c>
      <c r="B85" s="22">
        <v>200</v>
      </c>
      <c r="C85" s="22">
        <v>5000</v>
      </c>
      <c r="D85" s="22">
        <v>6.1</v>
      </c>
    </row>
    <row r="86" spans="1:4" x14ac:dyDescent="0.3">
      <c r="A86" s="22">
        <v>128</v>
      </c>
      <c r="B86" s="22">
        <v>64</v>
      </c>
      <c r="C86" s="22">
        <v>6000</v>
      </c>
      <c r="D86" s="22">
        <v>6.6</v>
      </c>
    </row>
    <row r="87" spans="1:4" x14ac:dyDescent="0.3">
      <c r="A87" s="22">
        <v>512</v>
      </c>
      <c r="B87" s="22">
        <v>64</v>
      </c>
      <c r="C87" s="22">
        <v>5000</v>
      </c>
      <c r="D87" s="22">
        <v>6.2</v>
      </c>
    </row>
    <row r="88" spans="1:4" x14ac:dyDescent="0.3">
      <c r="A88" s="22">
        <v>512</v>
      </c>
      <c r="B88" s="22">
        <v>108</v>
      </c>
      <c r="C88" s="22">
        <v>6000</v>
      </c>
      <c r="D88" s="22">
        <v>7.1</v>
      </c>
    </row>
    <row r="89" spans="1:4" x14ac:dyDescent="0.3">
      <c r="A89" s="22">
        <v>256</v>
      </c>
      <c r="B89" s="22">
        <v>200</v>
      </c>
      <c r="C89" s="22">
        <v>5500</v>
      </c>
      <c r="D89" s="22">
        <v>6.2</v>
      </c>
    </row>
    <row r="90" spans="1:4" x14ac:dyDescent="0.3">
      <c r="A90" s="22">
        <v>256</v>
      </c>
      <c r="B90" s="22">
        <v>108</v>
      </c>
      <c r="C90" s="22">
        <v>4500</v>
      </c>
      <c r="D90" s="22">
        <v>6.6</v>
      </c>
    </row>
    <row r="91" spans="1:4" x14ac:dyDescent="0.3">
      <c r="A91" s="22">
        <v>64</v>
      </c>
      <c r="B91" s="22">
        <v>50</v>
      </c>
      <c r="C91" s="22">
        <v>5500</v>
      </c>
      <c r="D91" s="22">
        <v>5.5</v>
      </c>
    </row>
    <row r="92" spans="1:4" x14ac:dyDescent="0.3">
      <c r="A92" s="22">
        <v>512</v>
      </c>
      <c r="B92" s="22">
        <v>200</v>
      </c>
      <c r="C92" s="22">
        <v>5500</v>
      </c>
      <c r="D92" s="22">
        <v>6.3</v>
      </c>
    </row>
    <row r="93" spans="1:4" x14ac:dyDescent="0.3">
      <c r="A93" s="22">
        <v>512</v>
      </c>
      <c r="B93" s="22">
        <v>12</v>
      </c>
      <c r="C93" s="22">
        <v>5000</v>
      </c>
      <c r="D93" s="22">
        <v>6.8</v>
      </c>
    </row>
    <row r="94" spans="1:4" x14ac:dyDescent="0.3">
      <c r="A94" s="22">
        <v>1024</v>
      </c>
      <c r="B94" s="22">
        <v>108</v>
      </c>
      <c r="C94" s="22">
        <v>5000</v>
      </c>
      <c r="D94" s="22">
        <v>7</v>
      </c>
    </row>
    <row r="95" spans="1:4" x14ac:dyDescent="0.3">
      <c r="A95" s="22">
        <v>1024</v>
      </c>
      <c r="B95" s="22">
        <v>48</v>
      </c>
      <c r="C95" s="22">
        <v>5000</v>
      </c>
      <c r="D95" s="22">
        <v>7.2</v>
      </c>
    </row>
    <row r="96" spans="1:4" x14ac:dyDescent="0.3">
      <c r="A96" s="22">
        <v>64</v>
      </c>
      <c r="B96" s="22">
        <v>12</v>
      </c>
      <c r="C96" s="22">
        <v>5000</v>
      </c>
      <c r="D96" s="22">
        <v>5.8</v>
      </c>
    </row>
    <row r="97" spans="1:4" x14ac:dyDescent="0.3">
      <c r="A97" s="22">
        <v>512</v>
      </c>
      <c r="B97" s="22">
        <v>50</v>
      </c>
      <c r="C97" s="22">
        <v>4500</v>
      </c>
      <c r="D97" s="22">
        <v>6.2</v>
      </c>
    </row>
    <row r="98" spans="1:4" x14ac:dyDescent="0.3">
      <c r="A98" s="22">
        <v>256</v>
      </c>
      <c r="B98" s="22">
        <v>108</v>
      </c>
      <c r="C98" s="22">
        <v>4500</v>
      </c>
      <c r="D98" s="22">
        <v>6.4</v>
      </c>
    </row>
    <row r="99" spans="1:4" x14ac:dyDescent="0.3">
      <c r="A99" s="22">
        <v>1024</v>
      </c>
      <c r="B99" s="22">
        <v>64</v>
      </c>
      <c r="C99" s="22">
        <v>4000</v>
      </c>
      <c r="D99" s="22">
        <v>7</v>
      </c>
    </row>
    <row r="100" spans="1:4" x14ac:dyDescent="0.3">
      <c r="A100" s="22">
        <v>256</v>
      </c>
      <c r="B100" s="22">
        <v>200</v>
      </c>
      <c r="C100" s="22">
        <v>5500</v>
      </c>
      <c r="D100" s="22">
        <v>5.7</v>
      </c>
    </row>
    <row r="101" spans="1:4" x14ac:dyDescent="0.3">
      <c r="A101" s="22">
        <v>1024</v>
      </c>
      <c r="B101" s="22">
        <v>48</v>
      </c>
      <c r="C101" s="22">
        <v>5000</v>
      </c>
      <c r="D101" s="22">
        <v>5.9</v>
      </c>
    </row>
    <row r="102" spans="1:4" x14ac:dyDescent="0.3">
      <c r="A102" s="22">
        <v>1024</v>
      </c>
      <c r="B102" s="22">
        <v>200</v>
      </c>
      <c r="C102" s="22">
        <v>6000</v>
      </c>
      <c r="D102" s="22">
        <v>6.7</v>
      </c>
    </row>
    <row r="103" spans="1:4" x14ac:dyDescent="0.3">
      <c r="A103" s="22">
        <v>128</v>
      </c>
      <c r="B103" s="22">
        <v>200</v>
      </c>
      <c r="C103" s="22">
        <v>6000</v>
      </c>
      <c r="D103" s="22">
        <v>6.3</v>
      </c>
    </row>
    <row r="104" spans="1:4" x14ac:dyDescent="0.3">
      <c r="A104" s="22">
        <v>512</v>
      </c>
      <c r="B104" s="22">
        <v>108</v>
      </c>
      <c r="C104" s="22">
        <v>6000</v>
      </c>
      <c r="D104" s="22">
        <v>6.1</v>
      </c>
    </row>
    <row r="105" spans="1:4" x14ac:dyDescent="0.3">
      <c r="A105" s="22">
        <v>1024</v>
      </c>
      <c r="B105" s="22">
        <v>50</v>
      </c>
      <c r="C105" s="22">
        <v>6000</v>
      </c>
      <c r="D105" s="22">
        <v>6.8</v>
      </c>
    </row>
    <row r="106" spans="1:4" x14ac:dyDescent="0.3">
      <c r="A106" s="22">
        <v>1024</v>
      </c>
      <c r="B106" s="22">
        <v>108</v>
      </c>
      <c r="C106" s="22">
        <v>5000</v>
      </c>
      <c r="D106" s="22">
        <v>6.1</v>
      </c>
    </row>
    <row r="107" spans="1:4" x14ac:dyDescent="0.3">
      <c r="A107" s="22">
        <v>1024</v>
      </c>
      <c r="B107" s="22">
        <v>50</v>
      </c>
      <c r="C107" s="22">
        <v>4500</v>
      </c>
      <c r="D107" s="22">
        <v>7.1</v>
      </c>
    </row>
    <row r="108" spans="1:4" x14ac:dyDescent="0.3">
      <c r="A108" s="22">
        <v>1024</v>
      </c>
      <c r="B108" s="22">
        <v>108</v>
      </c>
      <c r="C108" s="22">
        <v>5500</v>
      </c>
      <c r="D108" s="22">
        <v>5.7</v>
      </c>
    </row>
    <row r="109" spans="1:4" x14ac:dyDescent="0.3">
      <c r="A109" s="22">
        <v>256</v>
      </c>
      <c r="B109" s="22">
        <v>12</v>
      </c>
      <c r="C109" s="22">
        <v>6000</v>
      </c>
      <c r="D109" s="22">
        <v>7</v>
      </c>
    </row>
    <row r="110" spans="1:4" x14ac:dyDescent="0.3">
      <c r="A110" s="22">
        <v>512</v>
      </c>
      <c r="B110" s="22">
        <v>48</v>
      </c>
      <c r="C110" s="22">
        <v>5500</v>
      </c>
      <c r="D110" s="22">
        <v>6.5</v>
      </c>
    </row>
    <row r="111" spans="1:4" x14ac:dyDescent="0.3">
      <c r="A111" s="22">
        <v>256</v>
      </c>
      <c r="B111" s="22">
        <v>48</v>
      </c>
      <c r="C111" s="22">
        <v>4500</v>
      </c>
      <c r="D111" s="22">
        <v>6.2</v>
      </c>
    </row>
    <row r="112" spans="1:4" x14ac:dyDescent="0.3">
      <c r="A112" s="22">
        <v>512</v>
      </c>
      <c r="B112" s="22">
        <v>200</v>
      </c>
      <c r="C112" s="22">
        <v>6000</v>
      </c>
      <c r="D112" s="22">
        <v>6.1</v>
      </c>
    </row>
    <row r="113" spans="1:4" x14ac:dyDescent="0.3">
      <c r="A113" s="22">
        <v>128</v>
      </c>
      <c r="B113" s="22">
        <v>50</v>
      </c>
      <c r="C113" s="22">
        <v>4000</v>
      </c>
      <c r="D113" s="22">
        <v>5.9</v>
      </c>
    </row>
    <row r="114" spans="1:4" x14ac:dyDescent="0.3">
      <c r="A114" s="22">
        <v>128</v>
      </c>
      <c r="B114" s="22">
        <v>50</v>
      </c>
      <c r="C114" s="22">
        <v>4500</v>
      </c>
      <c r="D114" s="22">
        <v>7.1</v>
      </c>
    </row>
    <row r="115" spans="1:4" x14ac:dyDescent="0.3">
      <c r="A115" s="22">
        <v>256</v>
      </c>
      <c r="B115" s="22">
        <v>64</v>
      </c>
      <c r="C115" s="22">
        <v>5500</v>
      </c>
      <c r="D115" s="22">
        <v>6.2</v>
      </c>
    </row>
    <row r="116" spans="1:4" x14ac:dyDescent="0.3">
      <c r="A116" s="22">
        <v>256</v>
      </c>
      <c r="B116" s="22">
        <v>12</v>
      </c>
      <c r="C116" s="22">
        <v>4500</v>
      </c>
      <c r="D116" s="22">
        <v>6.7</v>
      </c>
    </row>
    <row r="117" spans="1:4" x14ac:dyDescent="0.3">
      <c r="A117" s="22">
        <v>64</v>
      </c>
      <c r="B117" s="22">
        <v>48</v>
      </c>
      <c r="C117" s="22">
        <v>6000</v>
      </c>
      <c r="D117" s="22">
        <v>6.7</v>
      </c>
    </row>
    <row r="118" spans="1:4" x14ac:dyDescent="0.3">
      <c r="A118" s="22">
        <v>64</v>
      </c>
      <c r="B118" s="22">
        <v>200</v>
      </c>
      <c r="C118" s="22">
        <v>6000</v>
      </c>
      <c r="D118" s="22">
        <v>6.7</v>
      </c>
    </row>
    <row r="119" spans="1:4" x14ac:dyDescent="0.3">
      <c r="A119" s="22">
        <v>512</v>
      </c>
      <c r="B119" s="22">
        <v>64</v>
      </c>
      <c r="C119" s="22">
        <v>6000</v>
      </c>
      <c r="D119" s="22">
        <v>6.7</v>
      </c>
    </row>
    <row r="120" spans="1:4" x14ac:dyDescent="0.3">
      <c r="A120" s="22">
        <v>512</v>
      </c>
      <c r="B120" s="22">
        <v>12</v>
      </c>
      <c r="C120" s="22">
        <v>5000</v>
      </c>
      <c r="D120" s="22">
        <v>6.5</v>
      </c>
    </row>
    <row r="121" spans="1:4" x14ac:dyDescent="0.3">
      <c r="A121" s="22">
        <v>1024</v>
      </c>
      <c r="B121" s="22">
        <v>48</v>
      </c>
      <c r="C121" s="22">
        <v>4500</v>
      </c>
      <c r="D121" s="22">
        <v>6.8</v>
      </c>
    </row>
    <row r="122" spans="1:4" x14ac:dyDescent="0.3">
      <c r="A122" s="22">
        <v>64</v>
      </c>
      <c r="B122" s="22">
        <v>64</v>
      </c>
      <c r="C122" s="22">
        <v>4000</v>
      </c>
      <c r="D122" s="22">
        <v>6.8</v>
      </c>
    </row>
    <row r="123" spans="1:4" x14ac:dyDescent="0.3">
      <c r="A123" s="22">
        <v>256</v>
      </c>
      <c r="B123" s="22">
        <v>108</v>
      </c>
      <c r="C123" s="22">
        <v>5500</v>
      </c>
      <c r="D123" s="22">
        <v>7.2</v>
      </c>
    </row>
    <row r="124" spans="1:4" x14ac:dyDescent="0.3">
      <c r="A124" s="22">
        <v>1024</v>
      </c>
      <c r="B124" s="22">
        <v>64</v>
      </c>
      <c r="C124" s="22">
        <v>5500</v>
      </c>
      <c r="D124" s="22">
        <v>5.6</v>
      </c>
    </row>
    <row r="125" spans="1:4" x14ac:dyDescent="0.3">
      <c r="A125" s="22">
        <v>1024</v>
      </c>
      <c r="B125" s="22">
        <v>108</v>
      </c>
      <c r="C125" s="22">
        <v>5000</v>
      </c>
      <c r="D125" s="22">
        <v>6.9</v>
      </c>
    </row>
    <row r="126" spans="1:4" x14ac:dyDescent="0.3">
      <c r="A126" s="22">
        <v>128</v>
      </c>
      <c r="B126" s="22">
        <v>12</v>
      </c>
      <c r="C126" s="22">
        <v>5500</v>
      </c>
      <c r="D126" s="22">
        <v>6.8</v>
      </c>
    </row>
    <row r="127" spans="1:4" x14ac:dyDescent="0.3">
      <c r="A127" s="22">
        <v>128</v>
      </c>
      <c r="B127" s="22">
        <v>108</v>
      </c>
      <c r="C127" s="22">
        <v>5500</v>
      </c>
      <c r="D127" s="22">
        <v>5.7</v>
      </c>
    </row>
    <row r="128" spans="1:4" x14ac:dyDescent="0.3">
      <c r="A128" s="22">
        <v>512</v>
      </c>
      <c r="B128" s="22">
        <v>12</v>
      </c>
      <c r="C128" s="22">
        <v>5500</v>
      </c>
      <c r="D128" s="22">
        <v>7.2</v>
      </c>
    </row>
    <row r="129" spans="1:4" x14ac:dyDescent="0.3">
      <c r="A129" s="22">
        <v>1024</v>
      </c>
      <c r="B129" s="22">
        <v>108</v>
      </c>
      <c r="C129" s="22">
        <v>4000</v>
      </c>
      <c r="D129" s="22">
        <v>6.4</v>
      </c>
    </row>
    <row r="130" spans="1:4" x14ac:dyDescent="0.3">
      <c r="A130" s="22">
        <v>1024</v>
      </c>
      <c r="B130" s="22">
        <v>64</v>
      </c>
      <c r="C130" s="22">
        <v>5000</v>
      </c>
      <c r="D130" s="22">
        <v>5.7</v>
      </c>
    </row>
    <row r="131" spans="1:4" x14ac:dyDescent="0.3">
      <c r="A131" s="22">
        <v>128</v>
      </c>
      <c r="B131" s="22">
        <v>108</v>
      </c>
      <c r="C131" s="22">
        <v>6000</v>
      </c>
      <c r="D131" s="22">
        <v>6.9</v>
      </c>
    </row>
    <row r="132" spans="1:4" x14ac:dyDescent="0.3">
      <c r="A132" s="22">
        <v>256</v>
      </c>
      <c r="B132" s="22">
        <v>12</v>
      </c>
      <c r="C132" s="22">
        <v>6000</v>
      </c>
      <c r="D132" s="22">
        <v>7.1</v>
      </c>
    </row>
    <row r="133" spans="1:4" x14ac:dyDescent="0.3">
      <c r="A133" s="22">
        <v>256</v>
      </c>
      <c r="B133" s="22">
        <v>108</v>
      </c>
      <c r="C133" s="22">
        <v>4500</v>
      </c>
      <c r="D133" s="22">
        <v>7.1</v>
      </c>
    </row>
    <row r="134" spans="1:4" x14ac:dyDescent="0.3">
      <c r="A134" s="22">
        <v>128</v>
      </c>
      <c r="B134" s="22">
        <v>200</v>
      </c>
      <c r="C134" s="22">
        <v>4000</v>
      </c>
      <c r="D134" s="22">
        <v>5.7</v>
      </c>
    </row>
    <row r="135" spans="1:4" x14ac:dyDescent="0.3">
      <c r="A135" s="22">
        <v>256</v>
      </c>
      <c r="B135" s="22">
        <v>12</v>
      </c>
      <c r="C135" s="22">
        <v>6000</v>
      </c>
      <c r="D135" s="22">
        <v>7.2</v>
      </c>
    </row>
    <row r="136" spans="1:4" x14ac:dyDescent="0.3">
      <c r="A136" s="22">
        <v>256</v>
      </c>
      <c r="B136" s="22">
        <v>50</v>
      </c>
      <c r="C136" s="22">
        <v>6000</v>
      </c>
      <c r="D136" s="22">
        <v>6.4</v>
      </c>
    </row>
    <row r="137" spans="1:4" x14ac:dyDescent="0.3">
      <c r="A137" s="22">
        <v>512</v>
      </c>
      <c r="B137" s="22">
        <v>200</v>
      </c>
      <c r="C137" s="22">
        <v>5000</v>
      </c>
      <c r="D137" s="22">
        <v>6.9</v>
      </c>
    </row>
    <row r="138" spans="1:4" x14ac:dyDescent="0.3">
      <c r="A138" s="22">
        <v>128</v>
      </c>
      <c r="B138" s="22">
        <v>200</v>
      </c>
      <c r="C138" s="22">
        <v>4000</v>
      </c>
      <c r="D138" s="22">
        <v>7</v>
      </c>
    </row>
    <row r="139" spans="1:4" x14ac:dyDescent="0.3">
      <c r="A139" s="22">
        <v>512</v>
      </c>
      <c r="B139" s="22">
        <v>48</v>
      </c>
      <c r="C139" s="22">
        <v>5500</v>
      </c>
      <c r="D139" s="22">
        <v>6.4</v>
      </c>
    </row>
    <row r="140" spans="1:4" x14ac:dyDescent="0.3">
      <c r="A140" s="22">
        <v>256</v>
      </c>
      <c r="B140" s="22">
        <v>50</v>
      </c>
      <c r="C140" s="22">
        <v>6000</v>
      </c>
      <c r="D140" s="22">
        <v>6.9</v>
      </c>
    </row>
    <row r="141" spans="1:4" x14ac:dyDescent="0.3">
      <c r="A141" s="22">
        <v>1024</v>
      </c>
      <c r="B141" s="22">
        <v>12</v>
      </c>
      <c r="C141" s="22">
        <v>6000</v>
      </c>
      <c r="D141" s="22">
        <v>5.8</v>
      </c>
    </row>
    <row r="142" spans="1:4" x14ac:dyDescent="0.3">
      <c r="A142" s="22">
        <v>128</v>
      </c>
      <c r="B142" s="22">
        <v>12</v>
      </c>
      <c r="C142" s="22">
        <v>5500</v>
      </c>
      <c r="D142" s="22">
        <v>6.1</v>
      </c>
    </row>
    <row r="143" spans="1:4" x14ac:dyDescent="0.3">
      <c r="A143" s="22">
        <v>64</v>
      </c>
      <c r="B143" s="22">
        <v>50</v>
      </c>
      <c r="C143" s="22">
        <v>6000</v>
      </c>
      <c r="D143" s="22">
        <v>6.1</v>
      </c>
    </row>
    <row r="144" spans="1:4" x14ac:dyDescent="0.3">
      <c r="A144" s="22">
        <v>64</v>
      </c>
      <c r="B144" s="22">
        <v>48</v>
      </c>
      <c r="C144" s="22">
        <v>5000</v>
      </c>
      <c r="D144" s="22">
        <v>6.1</v>
      </c>
    </row>
    <row r="145" spans="1:4" x14ac:dyDescent="0.3">
      <c r="A145" s="22">
        <v>1024</v>
      </c>
      <c r="B145" s="22">
        <v>108</v>
      </c>
      <c r="C145" s="22">
        <v>4500</v>
      </c>
      <c r="D145" s="22">
        <v>6</v>
      </c>
    </row>
    <row r="146" spans="1:4" x14ac:dyDescent="0.3">
      <c r="A146" s="22">
        <v>64</v>
      </c>
      <c r="B146" s="22">
        <v>64</v>
      </c>
      <c r="C146" s="22">
        <v>5500</v>
      </c>
      <c r="D146" s="22">
        <v>6.3</v>
      </c>
    </row>
    <row r="147" spans="1:4" x14ac:dyDescent="0.3">
      <c r="A147" s="22">
        <v>128</v>
      </c>
      <c r="B147" s="22">
        <v>12</v>
      </c>
      <c r="C147" s="22">
        <v>4000</v>
      </c>
      <c r="D147" s="22">
        <v>6.1</v>
      </c>
    </row>
    <row r="148" spans="1:4" x14ac:dyDescent="0.3">
      <c r="A148" s="22">
        <v>512</v>
      </c>
      <c r="B148" s="22">
        <v>50</v>
      </c>
      <c r="C148" s="22">
        <v>4000</v>
      </c>
      <c r="D148" s="22">
        <v>6.5</v>
      </c>
    </row>
    <row r="149" spans="1:4" x14ac:dyDescent="0.3">
      <c r="A149" s="22">
        <v>512</v>
      </c>
      <c r="B149" s="22">
        <v>200</v>
      </c>
      <c r="C149" s="22">
        <v>5000</v>
      </c>
      <c r="D149" s="22">
        <v>7.2</v>
      </c>
    </row>
    <row r="150" spans="1:4" x14ac:dyDescent="0.3">
      <c r="A150" s="22">
        <v>64</v>
      </c>
      <c r="B150" s="22">
        <v>50</v>
      </c>
      <c r="C150" s="22">
        <v>5500</v>
      </c>
      <c r="D150" s="22">
        <v>7</v>
      </c>
    </row>
    <row r="151" spans="1:4" x14ac:dyDescent="0.3">
      <c r="A151" s="22">
        <v>1024</v>
      </c>
      <c r="B151" s="22">
        <v>48</v>
      </c>
      <c r="C151" s="22">
        <v>4000</v>
      </c>
      <c r="D151" s="22">
        <v>7.1</v>
      </c>
    </row>
    <row r="152" spans="1:4" x14ac:dyDescent="0.3">
      <c r="A152" s="22">
        <v>512</v>
      </c>
      <c r="B152" s="22">
        <v>64</v>
      </c>
      <c r="C152" s="22">
        <v>4000</v>
      </c>
      <c r="D152" s="22">
        <v>6.8</v>
      </c>
    </row>
    <row r="153" spans="1:4" x14ac:dyDescent="0.3">
      <c r="A153" s="22">
        <v>256</v>
      </c>
      <c r="B153" s="22">
        <v>108</v>
      </c>
      <c r="C153" s="22">
        <v>4500</v>
      </c>
      <c r="D153" s="22">
        <v>6.9</v>
      </c>
    </row>
    <row r="154" spans="1:4" x14ac:dyDescent="0.3">
      <c r="A154" s="22">
        <v>256</v>
      </c>
      <c r="B154" s="22">
        <v>48</v>
      </c>
      <c r="C154" s="22">
        <v>6000</v>
      </c>
      <c r="D154" s="22">
        <v>6.7</v>
      </c>
    </row>
    <row r="155" spans="1:4" x14ac:dyDescent="0.3">
      <c r="A155" s="22">
        <v>256</v>
      </c>
      <c r="B155" s="22">
        <v>12</v>
      </c>
      <c r="C155" s="22">
        <v>5000</v>
      </c>
      <c r="D155" s="22">
        <v>7</v>
      </c>
    </row>
    <row r="156" spans="1:4" x14ac:dyDescent="0.3">
      <c r="A156" s="22">
        <v>1024</v>
      </c>
      <c r="B156" s="22">
        <v>50</v>
      </c>
      <c r="C156" s="22">
        <v>5500</v>
      </c>
      <c r="D156" s="22">
        <v>6.9</v>
      </c>
    </row>
    <row r="157" spans="1:4" x14ac:dyDescent="0.3">
      <c r="A157" s="22">
        <v>512</v>
      </c>
      <c r="B157" s="22">
        <v>108</v>
      </c>
      <c r="C157" s="22">
        <v>5500</v>
      </c>
      <c r="D157" s="22">
        <v>6.6</v>
      </c>
    </row>
    <row r="158" spans="1:4" x14ac:dyDescent="0.3">
      <c r="A158" s="22">
        <v>512</v>
      </c>
      <c r="B158" s="22">
        <v>64</v>
      </c>
      <c r="C158" s="22">
        <v>5500</v>
      </c>
      <c r="D158" s="22">
        <v>6.7</v>
      </c>
    </row>
    <row r="159" spans="1:4" x14ac:dyDescent="0.3">
      <c r="A159" s="22">
        <v>64</v>
      </c>
      <c r="B159" s="22">
        <v>64</v>
      </c>
      <c r="C159" s="22">
        <v>6000</v>
      </c>
      <c r="D159" s="22">
        <v>6.1</v>
      </c>
    </row>
    <row r="160" spans="1:4" x14ac:dyDescent="0.3">
      <c r="A160" s="22">
        <v>256</v>
      </c>
      <c r="B160" s="22">
        <v>48</v>
      </c>
      <c r="C160" s="22">
        <v>4500</v>
      </c>
      <c r="D160" s="22">
        <v>6.1</v>
      </c>
    </row>
    <row r="161" spans="1:4" x14ac:dyDescent="0.3">
      <c r="A161" s="22">
        <v>128</v>
      </c>
      <c r="B161" s="22">
        <v>48</v>
      </c>
      <c r="C161" s="22">
        <v>6000</v>
      </c>
      <c r="D161" s="22">
        <v>5.5</v>
      </c>
    </row>
    <row r="162" spans="1:4" x14ac:dyDescent="0.3">
      <c r="A162" s="22">
        <v>1024</v>
      </c>
      <c r="B162" s="22">
        <v>108</v>
      </c>
      <c r="C162" s="22">
        <v>5000</v>
      </c>
      <c r="D162" s="22">
        <v>7.1</v>
      </c>
    </row>
    <row r="163" spans="1:4" x14ac:dyDescent="0.3">
      <c r="A163" s="22">
        <v>512</v>
      </c>
      <c r="B163" s="22">
        <v>64</v>
      </c>
      <c r="C163" s="22">
        <v>4000</v>
      </c>
      <c r="D163" s="22">
        <v>6.6</v>
      </c>
    </row>
    <row r="164" spans="1:4" x14ac:dyDescent="0.3">
      <c r="A164" s="22">
        <v>128</v>
      </c>
      <c r="B164" s="22">
        <v>108</v>
      </c>
      <c r="C164" s="22">
        <v>5000</v>
      </c>
      <c r="D164" s="22">
        <v>6.4</v>
      </c>
    </row>
    <row r="165" spans="1:4" x14ac:dyDescent="0.3">
      <c r="A165" s="22">
        <v>1024</v>
      </c>
      <c r="B165" s="22">
        <v>64</v>
      </c>
      <c r="C165" s="22">
        <v>6000</v>
      </c>
      <c r="D165" s="22">
        <v>6.4</v>
      </c>
    </row>
    <row r="166" spans="1:4" x14ac:dyDescent="0.3">
      <c r="A166" s="22">
        <v>512</v>
      </c>
      <c r="B166" s="22">
        <v>50</v>
      </c>
      <c r="C166" s="22">
        <v>5500</v>
      </c>
      <c r="D166" s="22">
        <v>6.5</v>
      </c>
    </row>
    <row r="167" spans="1:4" x14ac:dyDescent="0.3">
      <c r="A167" s="22">
        <v>64</v>
      </c>
      <c r="B167" s="22">
        <v>50</v>
      </c>
      <c r="C167" s="22">
        <v>4500</v>
      </c>
      <c r="D167" s="22">
        <v>5.7</v>
      </c>
    </row>
    <row r="168" spans="1:4" x14ac:dyDescent="0.3">
      <c r="A168" s="22">
        <v>256</v>
      </c>
      <c r="B168" s="22">
        <v>200</v>
      </c>
      <c r="C168" s="22">
        <v>4500</v>
      </c>
      <c r="D168" s="22">
        <v>6.7</v>
      </c>
    </row>
    <row r="169" spans="1:4" x14ac:dyDescent="0.3">
      <c r="A169" s="22">
        <v>128</v>
      </c>
      <c r="B169" s="22">
        <v>108</v>
      </c>
      <c r="C169" s="22">
        <v>6000</v>
      </c>
      <c r="D169" s="22">
        <v>6.9</v>
      </c>
    </row>
    <row r="170" spans="1:4" x14ac:dyDescent="0.3">
      <c r="A170" s="22">
        <v>64</v>
      </c>
      <c r="B170" s="22">
        <v>200</v>
      </c>
      <c r="C170" s="22">
        <v>4500</v>
      </c>
      <c r="D170" s="22">
        <v>5.5</v>
      </c>
    </row>
    <row r="171" spans="1:4" x14ac:dyDescent="0.3">
      <c r="A171" s="22">
        <v>512</v>
      </c>
      <c r="B171" s="22">
        <v>108</v>
      </c>
      <c r="C171" s="22">
        <v>5000</v>
      </c>
      <c r="D171" s="22">
        <v>6.7</v>
      </c>
    </row>
    <row r="172" spans="1:4" x14ac:dyDescent="0.3">
      <c r="A172" s="22">
        <v>512</v>
      </c>
      <c r="B172" s="22">
        <v>108</v>
      </c>
      <c r="C172" s="22">
        <v>5500</v>
      </c>
      <c r="D172" s="22">
        <v>5.9</v>
      </c>
    </row>
    <row r="173" spans="1:4" x14ac:dyDescent="0.3">
      <c r="A173" s="22">
        <v>64</v>
      </c>
      <c r="B173" s="22">
        <v>12</v>
      </c>
      <c r="C173" s="22">
        <v>5500</v>
      </c>
      <c r="D173" s="22">
        <v>5.9</v>
      </c>
    </row>
    <row r="174" spans="1:4" x14ac:dyDescent="0.3">
      <c r="A174" s="22">
        <v>128</v>
      </c>
      <c r="B174" s="22">
        <v>200</v>
      </c>
      <c r="C174" s="22">
        <v>5000</v>
      </c>
      <c r="D174" s="22">
        <v>6.9</v>
      </c>
    </row>
    <row r="175" spans="1:4" x14ac:dyDescent="0.3">
      <c r="A175" s="22">
        <v>64</v>
      </c>
      <c r="B175" s="22">
        <v>108</v>
      </c>
      <c r="C175" s="22">
        <v>5500</v>
      </c>
      <c r="D175" s="22">
        <v>5.8</v>
      </c>
    </row>
    <row r="176" spans="1:4" x14ac:dyDescent="0.3">
      <c r="A176" s="22">
        <v>64</v>
      </c>
      <c r="B176" s="22">
        <v>200</v>
      </c>
      <c r="C176" s="22">
        <v>5000</v>
      </c>
      <c r="D176" s="22">
        <v>5.6</v>
      </c>
    </row>
    <row r="177" spans="1:4" x14ac:dyDescent="0.3">
      <c r="A177" s="22">
        <v>512</v>
      </c>
      <c r="B177" s="22">
        <v>64</v>
      </c>
      <c r="C177" s="22">
        <v>4500</v>
      </c>
      <c r="D177" s="22">
        <v>6.3</v>
      </c>
    </row>
    <row r="178" spans="1:4" x14ac:dyDescent="0.3">
      <c r="A178" s="22">
        <v>512</v>
      </c>
      <c r="B178" s="22">
        <v>48</v>
      </c>
      <c r="C178" s="22">
        <v>4500</v>
      </c>
      <c r="D178" s="22">
        <v>7.1</v>
      </c>
    </row>
    <row r="179" spans="1:4" x14ac:dyDescent="0.3">
      <c r="A179" s="22">
        <v>512</v>
      </c>
      <c r="B179" s="22">
        <v>48</v>
      </c>
      <c r="C179" s="22">
        <v>5000</v>
      </c>
      <c r="D179" s="22">
        <v>5.5</v>
      </c>
    </row>
    <row r="180" spans="1:4" x14ac:dyDescent="0.3">
      <c r="A180" s="22">
        <v>512</v>
      </c>
      <c r="B180" s="22">
        <v>12</v>
      </c>
      <c r="C180" s="22">
        <v>4500</v>
      </c>
      <c r="D180" s="22">
        <v>7</v>
      </c>
    </row>
    <row r="181" spans="1:4" x14ac:dyDescent="0.3">
      <c r="A181" s="22">
        <v>256</v>
      </c>
      <c r="B181" s="22">
        <v>48</v>
      </c>
      <c r="C181" s="22">
        <v>4000</v>
      </c>
      <c r="D181" s="22">
        <v>5.9</v>
      </c>
    </row>
    <row r="182" spans="1:4" x14ac:dyDescent="0.3">
      <c r="A182" s="22">
        <v>256</v>
      </c>
      <c r="B182" s="22">
        <v>64</v>
      </c>
      <c r="C182" s="22">
        <v>4000</v>
      </c>
      <c r="D182" s="22">
        <v>7</v>
      </c>
    </row>
    <row r="183" spans="1:4" x14ac:dyDescent="0.3">
      <c r="A183" s="22">
        <v>1024</v>
      </c>
      <c r="B183" s="22">
        <v>108</v>
      </c>
      <c r="C183" s="22">
        <v>4500</v>
      </c>
      <c r="D183" s="22">
        <v>7.2</v>
      </c>
    </row>
    <row r="184" spans="1:4" x14ac:dyDescent="0.3">
      <c r="A184" s="22">
        <v>1024</v>
      </c>
      <c r="B184" s="22">
        <v>108</v>
      </c>
      <c r="C184" s="22">
        <v>6000</v>
      </c>
      <c r="D184" s="22">
        <v>6.4</v>
      </c>
    </row>
    <row r="185" spans="1:4" x14ac:dyDescent="0.3">
      <c r="A185" s="22">
        <v>64</v>
      </c>
      <c r="B185" s="22">
        <v>200</v>
      </c>
      <c r="C185" s="22">
        <v>4000</v>
      </c>
      <c r="D185" s="22">
        <v>6.5</v>
      </c>
    </row>
    <row r="186" spans="1:4" x14ac:dyDescent="0.3">
      <c r="A186" s="22">
        <v>512</v>
      </c>
      <c r="B186" s="22">
        <v>12</v>
      </c>
      <c r="C186" s="22">
        <v>4000</v>
      </c>
      <c r="D186" s="22">
        <v>6.1</v>
      </c>
    </row>
    <row r="187" spans="1:4" x14ac:dyDescent="0.3">
      <c r="A187" s="22">
        <v>1024</v>
      </c>
      <c r="B187" s="22">
        <v>12</v>
      </c>
      <c r="C187" s="22">
        <v>6000</v>
      </c>
      <c r="D187" s="22">
        <v>5.7</v>
      </c>
    </row>
    <row r="188" spans="1:4" x14ac:dyDescent="0.3">
      <c r="A188" s="22">
        <v>64</v>
      </c>
      <c r="B188" s="22">
        <v>50</v>
      </c>
      <c r="C188" s="22">
        <v>4500</v>
      </c>
      <c r="D188" s="22">
        <v>6.8</v>
      </c>
    </row>
    <row r="189" spans="1:4" x14ac:dyDescent="0.3">
      <c r="A189" s="22">
        <v>512</v>
      </c>
      <c r="B189" s="22">
        <v>200</v>
      </c>
      <c r="C189" s="22">
        <v>4000</v>
      </c>
      <c r="D189" s="22">
        <v>6.4</v>
      </c>
    </row>
    <row r="190" spans="1:4" x14ac:dyDescent="0.3">
      <c r="A190" s="22">
        <v>256</v>
      </c>
      <c r="B190" s="22">
        <v>12</v>
      </c>
      <c r="C190" s="22">
        <v>6000</v>
      </c>
      <c r="D190" s="22">
        <v>6.8</v>
      </c>
    </row>
    <row r="191" spans="1:4" x14ac:dyDescent="0.3">
      <c r="A191" s="22">
        <v>512</v>
      </c>
      <c r="B191" s="22">
        <v>108</v>
      </c>
      <c r="C191" s="22">
        <v>4500</v>
      </c>
      <c r="D191" s="22">
        <v>6.5</v>
      </c>
    </row>
    <row r="192" spans="1:4" x14ac:dyDescent="0.3">
      <c r="A192" s="22">
        <v>1024</v>
      </c>
      <c r="B192" s="22">
        <v>48</v>
      </c>
      <c r="C192" s="22">
        <v>5000</v>
      </c>
      <c r="D192" s="22">
        <v>6.4</v>
      </c>
    </row>
    <row r="193" spans="1:4" x14ac:dyDescent="0.3">
      <c r="A193" s="22">
        <v>1024</v>
      </c>
      <c r="B193" s="22">
        <v>50</v>
      </c>
      <c r="C193" s="22">
        <v>5500</v>
      </c>
      <c r="D193" s="22">
        <v>7.1</v>
      </c>
    </row>
    <row r="194" spans="1:4" x14ac:dyDescent="0.3">
      <c r="A194" s="22">
        <v>512</v>
      </c>
      <c r="B194" s="22">
        <v>200</v>
      </c>
      <c r="C194" s="22">
        <v>4500</v>
      </c>
      <c r="D194" s="22">
        <v>6.1</v>
      </c>
    </row>
    <row r="195" spans="1:4" x14ac:dyDescent="0.3">
      <c r="A195" s="22">
        <v>256</v>
      </c>
      <c r="B195" s="22">
        <v>108</v>
      </c>
      <c r="C195" s="22">
        <v>4000</v>
      </c>
      <c r="D195" s="22">
        <v>6.6</v>
      </c>
    </row>
    <row r="196" spans="1:4" x14ac:dyDescent="0.3">
      <c r="A196" s="22">
        <v>256</v>
      </c>
      <c r="B196" s="22">
        <v>108</v>
      </c>
      <c r="C196" s="22">
        <v>4000</v>
      </c>
      <c r="D196" s="22">
        <v>6.1</v>
      </c>
    </row>
    <row r="197" spans="1:4" x14ac:dyDescent="0.3">
      <c r="A197" s="22">
        <v>64</v>
      </c>
      <c r="B197" s="22">
        <v>200</v>
      </c>
      <c r="C197" s="22">
        <v>6000</v>
      </c>
      <c r="D197" s="22">
        <v>6.8</v>
      </c>
    </row>
    <row r="198" spans="1:4" x14ac:dyDescent="0.3">
      <c r="A198" s="22">
        <v>512</v>
      </c>
      <c r="B198" s="22">
        <v>200</v>
      </c>
      <c r="C198" s="22">
        <v>4500</v>
      </c>
      <c r="D198" s="22">
        <v>7.2</v>
      </c>
    </row>
    <row r="199" spans="1:4" x14ac:dyDescent="0.3">
      <c r="A199" s="22">
        <v>64</v>
      </c>
      <c r="B199" s="22">
        <v>200</v>
      </c>
      <c r="C199" s="22">
        <v>5500</v>
      </c>
      <c r="D199" s="22">
        <v>5.7</v>
      </c>
    </row>
    <row r="200" spans="1:4" x14ac:dyDescent="0.3">
      <c r="A200" s="22">
        <v>256</v>
      </c>
      <c r="B200" s="22">
        <v>12</v>
      </c>
      <c r="C200" s="22">
        <v>4500</v>
      </c>
      <c r="D200" s="22">
        <v>6.2</v>
      </c>
    </row>
    <row r="201" spans="1:4" x14ac:dyDescent="0.3">
      <c r="A201" s="22">
        <v>512</v>
      </c>
      <c r="B201" s="22">
        <v>50</v>
      </c>
      <c r="C201" s="22">
        <v>5000</v>
      </c>
      <c r="D201" s="22">
        <v>7</v>
      </c>
    </row>
    <row r="202" spans="1:4" x14ac:dyDescent="0.3">
      <c r="A202" s="22">
        <v>512</v>
      </c>
      <c r="B202" s="22">
        <v>200</v>
      </c>
      <c r="C202" s="22">
        <v>5000</v>
      </c>
      <c r="D202" s="22">
        <v>7</v>
      </c>
    </row>
    <row r="203" spans="1:4" x14ac:dyDescent="0.3">
      <c r="A203" s="22">
        <v>128</v>
      </c>
      <c r="B203" s="22">
        <v>50</v>
      </c>
      <c r="C203" s="22">
        <v>5500</v>
      </c>
      <c r="D203" s="22">
        <v>7</v>
      </c>
    </row>
    <row r="204" spans="1:4" x14ac:dyDescent="0.3">
      <c r="A204" s="22">
        <v>512</v>
      </c>
      <c r="B204" s="22">
        <v>12</v>
      </c>
      <c r="C204" s="22">
        <v>5000</v>
      </c>
      <c r="D204" s="22">
        <v>6.9</v>
      </c>
    </row>
    <row r="205" spans="1:4" x14ac:dyDescent="0.3">
      <c r="A205" s="22">
        <v>64</v>
      </c>
      <c r="B205" s="22">
        <v>48</v>
      </c>
      <c r="C205" s="22">
        <v>5000</v>
      </c>
      <c r="D205" s="22">
        <v>7.2</v>
      </c>
    </row>
    <row r="206" spans="1:4" x14ac:dyDescent="0.3">
      <c r="A206" s="22">
        <v>512</v>
      </c>
      <c r="B206" s="22">
        <v>50</v>
      </c>
      <c r="C206" s="22">
        <v>4500</v>
      </c>
      <c r="D206" s="22">
        <v>6.4</v>
      </c>
    </row>
    <row r="207" spans="1:4" x14ac:dyDescent="0.3">
      <c r="A207" s="22">
        <v>1024</v>
      </c>
      <c r="B207" s="22">
        <v>64</v>
      </c>
      <c r="C207" s="22">
        <v>5500</v>
      </c>
      <c r="D207" s="22">
        <v>6.7</v>
      </c>
    </row>
    <row r="208" spans="1:4" x14ac:dyDescent="0.3">
      <c r="A208" s="22">
        <v>64</v>
      </c>
      <c r="B208" s="22">
        <v>48</v>
      </c>
      <c r="C208" s="22">
        <v>6000</v>
      </c>
      <c r="D208" s="22">
        <v>6</v>
      </c>
    </row>
    <row r="209" spans="1:4" x14ac:dyDescent="0.3">
      <c r="A209" s="22">
        <v>128</v>
      </c>
      <c r="B209" s="22">
        <v>12</v>
      </c>
      <c r="C209" s="22">
        <v>4500</v>
      </c>
      <c r="D209" s="22">
        <v>6.2</v>
      </c>
    </row>
    <row r="210" spans="1:4" x14ac:dyDescent="0.3">
      <c r="A210" s="22">
        <v>512</v>
      </c>
      <c r="B210" s="22">
        <v>200</v>
      </c>
      <c r="C210" s="22">
        <v>4500</v>
      </c>
      <c r="D210" s="22">
        <v>6.2</v>
      </c>
    </row>
    <row r="211" spans="1:4" x14ac:dyDescent="0.3">
      <c r="A211" s="22">
        <v>256</v>
      </c>
      <c r="B211" s="22">
        <v>200</v>
      </c>
      <c r="C211" s="22">
        <v>6000</v>
      </c>
      <c r="D211" s="22">
        <v>6.3</v>
      </c>
    </row>
    <row r="212" spans="1:4" x14ac:dyDescent="0.3">
      <c r="A212" s="22">
        <v>1024</v>
      </c>
      <c r="B212" s="22">
        <v>64</v>
      </c>
      <c r="C212" s="22">
        <v>5000</v>
      </c>
      <c r="D212" s="22">
        <v>6.9</v>
      </c>
    </row>
    <row r="213" spans="1:4" x14ac:dyDescent="0.3">
      <c r="A213" s="22">
        <v>128</v>
      </c>
      <c r="B213" s="22">
        <v>200</v>
      </c>
      <c r="C213" s="22">
        <v>5000</v>
      </c>
      <c r="D213" s="22">
        <v>5.9</v>
      </c>
    </row>
    <row r="214" spans="1:4" x14ac:dyDescent="0.3">
      <c r="A214" s="22">
        <v>1024</v>
      </c>
      <c r="B214" s="22">
        <v>108</v>
      </c>
      <c r="C214" s="22">
        <v>6000</v>
      </c>
      <c r="D214" s="22">
        <v>7.2</v>
      </c>
    </row>
    <row r="215" spans="1:4" x14ac:dyDescent="0.3">
      <c r="A215" s="22">
        <v>1024</v>
      </c>
      <c r="B215" s="22">
        <v>48</v>
      </c>
      <c r="C215" s="22">
        <v>6000</v>
      </c>
      <c r="D215" s="22">
        <v>5.8</v>
      </c>
    </row>
    <row r="216" spans="1:4" x14ac:dyDescent="0.3">
      <c r="A216" s="22">
        <v>128</v>
      </c>
      <c r="B216" s="22">
        <v>48</v>
      </c>
      <c r="C216" s="22">
        <v>4500</v>
      </c>
      <c r="D216" s="22">
        <v>6.9</v>
      </c>
    </row>
    <row r="217" spans="1:4" x14ac:dyDescent="0.3">
      <c r="A217" s="22">
        <v>1024</v>
      </c>
      <c r="B217" s="22">
        <v>50</v>
      </c>
      <c r="C217" s="22">
        <v>5000</v>
      </c>
      <c r="D217" s="22">
        <v>7</v>
      </c>
    </row>
    <row r="218" spans="1:4" x14ac:dyDescent="0.3">
      <c r="A218" s="22">
        <v>1024</v>
      </c>
      <c r="B218" s="22">
        <v>50</v>
      </c>
      <c r="C218" s="22">
        <v>5500</v>
      </c>
      <c r="D218" s="22">
        <v>5.8</v>
      </c>
    </row>
    <row r="219" spans="1:4" x14ac:dyDescent="0.3">
      <c r="A219" s="22">
        <v>256</v>
      </c>
      <c r="B219" s="22">
        <v>64</v>
      </c>
      <c r="C219" s="22">
        <v>4500</v>
      </c>
      <c r="D219" s="22">
        <v>6.7</v>
      </c>
    </row>
    <row r="220" spans="1:4" x14ac:dyDescent="0.3">
      <c r="A220" s="22">
        <v>512</v>
      </c>
      <c r="B220" s="22">
        <v>108</v>
      </c>
      <c r="C220" s="22">
        <v>5500</v>
      </c>
      <c r="D220" s="22">
        <v>6.4</v>
      </c>
    </row>
    <row r="221" spans="1:4" x14ac:dyDescent="0.3">
      <c r="A221" s="22">
        <v>512</v>
      </c>
      <c r="B221" s="22">
        <v>12</v>
      </c>
      <c r="C221" s="22">
        <v>5500</v>
      </c>
      <c r="D221" s="22">
        <v>6</v>
      </c>
    </row>
    <row r="222" spans="1:4" x14ac:dyDescent="0.3">
      <c r="A222" s="22">
        <v>64</v>
      </c>
      <c r="B222" s="22">
        <v>12</v>
      </c>
      <c r="C222" s="22">
        <v>5500</v>
      </c>
      <c r="D222" s="22">
        <v>5.9</v>
      </c>
    </row>
    <row r="223" spans="1:4" x14ac:dyDescent="0.3">
      <c r="A223" s="22">
        <v>1024</v>
      </c>
      <c r="B223" s="22">
        <v>64</v>
      </c>
      <c r="C223" s="22">
        <v>5000</v>
      </c>
      <c r="D223" s="22">
        <v>6.7</v>
      </c>
    </row>
    <row r="224" spans="1:4" x14ac:dyDescent="0.3">
      <c r="A224" s="22">
        <v>512</v>
      </c>
      <c r="B224" s="22">
        <v>200</v>
      </c>
      <c r="C224" s="22">
        <v>4500</v>
      </c>
      <c r="D224" s="22">
        <v>6.3</v>
      </c>
    </row>
    <row r="225" spans="1:4" x14ac:dyDescent="0.3">
      <c r="A225" s="22">
        <v>64</v>
      </c>
      <c r="B225" s="22">
        <v>200</v>
      </c>
      <c r="C225" s="22">
        <v>4000</v>
      </c>
      <c r="D225" s="22">
        <v>7</v>
      </c>
    </row>
    <row r="226" spans="1:4" x14ac:dyDescent="0.3">
      <c r="A226" s="22">
        <v>64</v>
      </c>
      <c r="B226" s="22">
        <v>48</v>
      </c>
      <c r="C226" s="22">
        <v>4500</v>
      </c>
      <c r="D226" s="22">
        <v>6.5</v>
      </c>
    </row>
    <row r="227" spans="1:4" x14ac:dyDescent="0.3">
      <c r="A227" s="22">
        <v>128</v>
      </c>
      <c r="B227" s="22">
        <v>48</v>
      </c>
      <c r="C227" s="22">
        <v>5500</v>
      </c>
      <c r="D227" s="22">
        <v>6.1</v>
      </c>
    </row>
    <row r="228" spans="1:4" x14ac:dyDescent="0.3">
      <c r="A228" s="22">
        <v>512</v>
      </c>
      <c r="B228" s="22">
        <v>50</v>
      </c>
      <c r="C228" s="22">
        <v>6000</v>
      </c>
      <c r="D228" s="22">
        <v>6.9</v>
      </c>
    </row>
    <row r="229" spans="1:4" x14ac:dyDescent="0.3">
      <c r="A229" s="22">
        <v>256</v>
      </c>
      <c r="B229" s="22">
        <v>64</v>
      </c>
      <c r="C229" s="22">
        <v>6000</v>
      </c>
      <c r="D229" s="22">
        <v>6.9</v>
      </c>
    </row>
    <row r="230" spans="1:4" x14ac:dyDescent="0.3">
      <c r="A230" s="22">
        <v>512</v>
      </c>
      <c r="B230" s="22">
        <v>12</v>
      </c>
      <c r="C230" s="22">
        <v>6000</v>
      </c>
      <c r="D230" s="22">
        <v>6.3</v>
      </c>
    </row>
    <row r="231" spans="1:4" x14ac:dyDescent="0.3">
      <c r="A231" s="22">
        <v>128</v>
      </c>
      <c r="B231" s="22">
        <v>64</v>
      </c>
      <c r="C231" s="22">
        <v>6000</v>
      </c>
      <c r="D231" s="22">
        <v>7.1</v>
      </c>
    </row>
    <row r="232" spans="1:4" x14ac:dyDescent="0.3">
      <c r="A232" s="22">
        <v>256</v>
      </c>
      <c r="B232" s="22">
        <v>48</v>
      </c>
      <c r="C232" s="22">
        <v>4000</v>
      </c>
      <c r="D232" s="22">
        <v>6.5</v>
      </c>
    </row>
    <row r="233" spans="1:4" x14ac:dyDescent="0.3">
      <c r="A233" s="22">
        <v>512</v>
      </c>
      <c r="B233" s="22">
        <v>48</v>
      </c>
      <c r="C233" s="22">
        <v>5000</v>
      </c>
      <c r="D233" s="22">
        <v>5.8</v>
      </c>
    </row>
    <row r="234" spans="1:4" x14ac:dyDescent="0.3">
      <c r="A234" s="22">
        <v>128</v>
      </c>
      <c r="B234" s="22">
        <v>108</v>
      </c>
      <c r="C234" s="22">
        <v>4500</v>
      </c>
      <c r="D234" s="22">
        <v>6.9</v>
      </c>
    </row>
    <row r="235" spans="1:4" x14ac:dyDescent="0.3">
      <c r="A235" s="22">
        <v>1024</v>
      </c>
      <c r="B235" s="22">
        <v>200</v>
      </c>
      <c r="C235" s="22">
        <v>4000</v>
      </c>
      <c r="D235" s="22">
        <v>5.8</v>
      </c>
    </row>
    <row r="236" spans="1:4" x14ac:dyDescent="0.3">
      <c r="A236" s="22">
        <v>512</v>
      </c>
      <c r="B236" s="22">
        <v>48</v>
      </c>
      <c r="C236" s="22">
        <v>4000</v>
      </c>
      <c r="D236" s="22">
        <v>5.9</v>
      </c>
    </row>
    <row r="237" spans="1:4" x14ac:dyDescent="0.3">
      <c r="A237" s="22">
        <v>1024</v>
      </c>
      <c r="B237" s="22">
        <v>48</v>
      </c>
      <c r="C237" s="22">
        <v>4000</v>
      </c>
      <c r="D237" s="22">
        <v>5.9</v>
      </c>
    </row>
    <row r="238" spans="1:4" x14ac:dyDescent="0.3">
      <c r="A238" s="22">
        <v>1024</v>
      </c>
      <c r="B238" s="22">
        <v>50</v>
      </c>
      <c r="C238" s="22">
        <v>5000</v>
      </c>
      <c r="D238" s="22">
        <v>5.9</v>
      </c>
    </row>
    <row r="239" spans="1:4" x14ac:dyDescent="0.3">
      <c r="A239" s="22">
        <v>128</v>
      </c>
      <c r="B239" s="22">
        <v>64</v>
      </c>
      <c r="C239" s="22">
        <v>4500</v>
      </c>
      <c r="D239" s="22">
        <v>6.9</v>
      </c>
    </row>
    <row r="240" spans="1:4" x14ac:dyDescent="0.3">
      <c r="A240" s="22">
        <v>128</v>
      </c>
      <c r="B240" s="22">
        <v>12</v>
      </c>
      <c r="C240" s="22">
        <v>6000</v>
      </c>
      <c r="D240" s="22">
        <v>6.6</v>
      </c>
    </row>
    <row r="241" spans="1:4" x14ac:dyDescent="0.3">
      <c r="A241" s="22">
        <v>256</v>
      </c>
      <c r="B241" s="22">
        <v>50</v>
      </c>
      <c r="C241" s="22">
        <v>4000</v>
      </c>
      <c r="D241" s="22">
        <v>6.9</v>
      </c>
    </row>
    <row r="242" spans="1:4" x14ac:dyDescent="0.3">
      <c r="A242" s="22">
        <v>256</v>
      </c>
      <c r="B242" s="22">
        <v>108</v>
      </c>
      <c r="C242" s="22">
        <v>5500</v>
      </c>
      <c r="D242" s="22">
        <v>5.9</v>
      </c>
    </row>
    <row r="243" spans="1:4" x14ac:dyDescent="0.3">
      <c r="A243" s="22">
        <v>64</v>
      </c>
      <c r="B243" s="22">
        <v>12</v>
      </c>
      <c r="C243" s="22">
        <v>6000</v>
      </c>
      <c r="D243" s="22">
        <v>6</v>
      </c>
    </row>
    <row r="244" spans="1:4" x14ac:dyDescent="0.3">
      <c r="A244" s="22">
        <v>512</v>
      </c>
      <c r="B244" s="22">
        <v>108</v>
      </c>
      <c r="C244" s="22">
        <v>5000</v>
      </c>
      <c r="D244" s="22">
        <v>5.6</v>
      </c>
    </row>
    <row r="245" spans="1:4" x14ac:dyDescent="0.3">
      <c r="A245" s="22">
        <v>256</v>
      </c>
      <c r="B245" s="22">
        <v>108</v>
      </c>
      <c r="C245" s="22">
        <v>5500</v>
      </c>
      <c r="D245" s="22">
        <v>5.8</v>
      </c>
    </row>
    <row r="246" spans="1:4" x14ac:dyDescent="0.3">
      <c r="A246" s="22">
        <v>512</v>
      </c>
      <c r="B246" s="22">
        <v>48</v>
      </c>
      <c r="C246" s="22">
        <v>5500</v>
      </c>
      <c r="D246" s="22">
        <v>6.3</v>
      </c>
    </row>
    <row r="247" spans="1:4" x14ac:dyDescent="0.3">
      <c r="A247" s="22">
        <v>64</v>
      </c>
      <c r="B247" s="22">
        <v>48</v>
      </c>
      <c r="C247" s="22">
        <v>4500</v>
      </c>
      <c r="D247" s="22">
        <v>7</v>
      </c>
    </row>
    <row r="248" spans="1:4" x14ac:dyDescent="0.3">
      <c r="A248" s="22">
        <v>256</v>
      </c>
      <c r="B248" s="22">
        <v>50</v>
      </c>
      <c r="C248" s="22">
        <v>4000</v>
      </c>
      <c r="D248" s="22">
        <v>6.1</v>
      </c>
    </row>
    <row r="249" spans="1:4" x14ac:dyDescent="0.3">
      <c r="A249" s="22">
        <v>256</v>
      </c>
      <c r="B249" s="22">
        <v>200</v>
      </c>
      <c r="C249" s="22">
        <v>6000</v>
      </c>
      <c r="D249" s="22">
        <v>5.7</v>
      </c>
    </row>
    <row r="250" spans="1:4" x14ac:dyDescent="0.3">
      <c r="A250" s="22">
        <v>256</v>
      </c>
      <c r="B250" s="22">
        <v>48</v>
      </c>
      <c r="C250" s="22">
        <v>5500</v>
      </c>
      <c r="D250" s="22">
        <v>6.1</v>
      </c>
    </row>
    <row r="251" spans="1:4" x14ac:dyDescent="0.3">
      <c r="A251" s="22">
        <v>512</v>
      </c>
      <c r="B251" s="22">
        <v>48</v>
      </c>
      <c r="C251" s="22">
        <v>5500</v>
      </c>
      <c r="D251" s="22">
        <v>6.2</v>
      </c>
    </row>
    <row r="252" spans="1:4" x14ac:dyDescent="0.3">
      <c r="A252" s="22">
        <v>128</v>
      </c>
      <c r="B252" s="22">
        <v>12</v>
      </c>
      <c r="C252" s="22">
        <v>4500</v>
      </c>
      <c r="D252" s="22">
        <v>5.6</v>
      </c>
    </row>
    <row r="253" spans="1:4" x14ac:dyDescent="0.3">
      <c r="A253" s="22">
        <v>1024</v>
      </c>
      <c r="B253" s="22">
        <v>50</v>
      </c>
      <c r="C253" s="22">
        <v>5000</v>
      </c>
      <c r="D253" s="22">
        <v>6.6</v>
      </c>
    </row>
    <row r="254" spans="1:4" x14ac:dyDescent="0.3">
      <c r="A254" s="22">
        <v>512</v>
      </c>
      <c r="B254" s="22">
        <v>64</v>
      </c>
      <c r="C254" s="22">
        <v>4500</v>
      </c>
      <c r="D254" s="22">
        <v>5.8</v>
      </c>
    </row>
    <row r="255" spans="1:4" x14ac:dyDescent="0.3">
      <c r="A255" s="22">
        <v>128</v>
      </c>
      <c r="B255" s="22">
        <v>12</v>
      </c>
      <c r="C255" s="22">
        <v>4500</v>
      </c>
      <c r="D255" s="22">
        <v>6.4</v>
      </c>
    </row>
    <row r="256" spans="1:4" x14ac:dyDescent="0.3">
      <c r="A256" s="22">
        <v>64</v>
      </c>
      <c r="B256" s="22">
        <v>64</v>
      </c>
      <c r="C256" s="22">
        <v>4500</v>
      </c>
      <c r="D256" s="22">
        <v>5.5</v>
      </c>
    </row>
    <row r="257" spans="1:4" x14ac:dyDescent="0.3">
      <c r="A257" s="22">
        <v>512</v>
      </c>
      <c r="B257" s="22">
        <v>48</v>
      </c>
      <c r="C257" s="22">
        <v>4500</v>
      </c>
      <c r="D257" s="22">
        <v>6</v>
      </c>
    </row>
    <row r="258" spans="1:4" x14ac:dyDescent="0.3">
      <c r="A258" s="22">
        <v>1024</v>
      </c>
      <c r="B258" s="22">
        <v>200</v>
      </c>
      <c r="C258" s="22">
        <v>6000</v>
      </c>
      <c r="D258" s="22">
        <v>5.7</v>
      </c>
    </row>
    <row r="259" spans="1:4" x14ac:dyDescent="0.3">
      <c r="A259" s="22">
        <v>512</v>
      </c>
      <c r="B259" s="22">
        <v>12</v>
      </c>
      <c r="C259" s="22">
        <v>6000</v>
      </c>
      <c r="D259" s="22">
        <v>6.6</v>
      </c>
    </row>
    <row r="260" spans="1:4" x14ac:dyDescent="0.3">
      <c r="A260" s="22">
        <v>128</v>
      </c>
      <c r="B260" s="22">
        <v>50</v>
      </c>
      <c r="C260" s="22">
        <v>5000</v>
      </c>
      <c r="D260" s="22">
        <v>6.5</v>
      </c>
    </row>
    <row r="261" spans="1:4" x14ac:dyDescent="0.3">
      <c r="A261" s="22">
        <v>1024</v>
      </c>
      <c r="B261" s="22">
        <v>48</v>
      </c>
      <c r="C261" s="22">
        <v>4500</v>
      </c>
      <c r="D261" s="22">
        <v>5.7</v>
      </c>
    </row>
    <row r="262" spans="1:4" x14ac:dyDescent="0.3">
      <c r="A262" s="22">
        <v>512</v>
      </c>
      <c r="B262" s="22">
        <v>48</v>
      </c>
      <c r="C262" s="22">
        <v>4000</v>
      </c>
      <c r="D262" s="22">
        <v>6.5</v>
      </c>
    </row>
    <row r="263" spans="1:4" x14ac:dyDescent="0.3">
      <c r="A263" s="22">
        <v>512</v>
      </c>
      <c r="B263" s="22">
        <v>50</v>
      </c>
      <c r="C263" s="22">
        <v>6000</v>
      </c>
      <c r="D263" s="22">
        <v>6.6</v>
      </c>
    </row>
    <row r="264" spans="1:4" x14ac:dyDescent="0.3">
      <c r="A264" s="22">
        <v>256</v>
      </c>
      <c r="B264" s="22">
        <v>200</v>
      </c>
      <c r="C264" s="22">
        <v>5000</v>
      </c>
      <c r="D264" s="22">
        <v>7.1</v>
      </c>
    </row>
    <row r="265" spans="1:4" x14ac:dyDescent="0.3">
      <c r="A265" s="22">
        <v>1024</v>
      </c>
      <c r="B265" s="22">
        <v>50</v>
      </c>
      <c r="C265" s="22">
        <v>5500</v>
      </c>
      <c r="D265" s="22">
        <v>7.1</v>
      </c>
    </row>
    <row r="266" spans="1:4" x14ac:dyDescent="0.3">
      <c r="A266" s="22">
        <v>128</v>
      </c>
      <c r="B266" s="22">
        <v>108</v>
      </c>
      <c r="C266" s="22">
        <v>5000</v>
      </c>
      <c r="D266" s="22">
        <v>6</v>
      </c>
    </row>
    <row r="267" spans="1:4" x14ac:dyDescent="0.3">
      <c r="A267" s="22">
        <v>1024</v>
      </c>
      <c r="B267" s="22">
        <v>108</v>
      </c>
      <c r="C267" s="22">
        <v>5000</v>
      </c>
      <c r="D267" s="22">
        <v>5.5</v>
      </c>
    </row>
    <row r="268" spans="1:4" x14ac:dyDescent="0.3">
      <c r="A268" s="22">
        <v>256</v>
      </c>
      <c r="B268" s="22">
        <v>12</v>
      </c>
      <c r="C268" s="22">
        <v>5000</v>
      </c>
      <c r="D268" s="22">
        <v>7.2</v>
      </c>
    </row>
    <row r="269" spans="1:4" x14ac:dyDescent="0.3">
      <c r="A269" s="22">
        <v>64</v>
      </c>
      <c r="B269" s="22">
        <v>12</v>
      </c>
      <c r="C269" s="22">
        <v>4500</v>
      </c>
      <c r="D269" s="22">
        <v>5.8</v>
      </c>
    </row>
    <row r="270" spans="1:4" x14ac:dyDescent="0.3">
      <c r="A270" s="22">
        <v>1024</v>
      </c>
      <c r="B270" s="22">
        <v>48</v>
      </c>
      <c r="C270" s="22">
        <v>5500</v>
      </c>
      <c r="D270" s="22">
        <v>6.9</v>
      </c>
    </row>
    <row r="271" spans="1:4" x14ac:dyDescent="0.3">
      <c r="A271" s="22">
        <v>512</v>
      </c>
      <c r="B271" s="22">
        <v>200</v>
      </c>
      <c r="C271" s="22">
        <v>4000</v>
      </c>
      <c r="D271" s="22">
        <v>7</v>
      </c>
    </row>
    <row r="272" spans="1:4" x14ac:dyDescent="0.3">
      <c r="A272" s="22">
        <v>128</v>
      </c>
      <c r="B272" s="22">
        <v>50</v>
      </c>
      <c r="C272" s="22">
        <v>4000</v>
      </c>
      <c r="D272" s="22">
        <v>6.8</v>
      </c>
    </row>
    <row r="273" spans="1:4" x14ac:dyDescent="0.3">
      <c r="A273" s="22">
        <v>128</v>
      </c>
      <c r="B273" s="22">
        <v>50</v>
      </c>
      <c r="C273" s="22">
        <v>4500</v>
      </c>
      <c r="D273" s="22">
        <v>6.6</v>
      </c>
    </row>
    <row r="274" spans="1:4" x14ac:dyDescent="0.3">
      <c r="A274" s="22">
        <v>512</v>
      </c>
      <c r="B274" s="22">
        <v>108</v>
      </c>
      <c r="C274" s="22">
        <v>5000</v>
      </c>
      <c r="D274" s="22">
        <v>6.3</v>
      </c>
    </row>
    <row r="275" spans="1:4" x14ac:dyDescent="0.3">
      <c r="A275" s="22">
        <v>512</v>
      </c>
      <c r="B275" s="22">
        <v>48</v>
      </c>
      <c r="C275" s="22">
        <v>5500</v>
      </c>
      <c r="D275" s="22">
        <v>5.8</v>
      </c>
    </row>
    <row r="276" spans="1:4" x14ac:dyDescent="0.3">
      <c r="A276" s="22">
        <v>128</v>
      </c>
      <c r="B276" s="22">
        <v>64</v>
      </c>
      <c r="C276" s="22">
        <v>5500</v>
      </c>
      <c r="D276" s="22">
        <v>6</v>
      </c>
    </row>
    <row r="277" spans="1:4" x14ac:dyDescent="0.3">
      <c r="A277" s="22">
        <v>256</v>
      </c>
      <c r="B277" s="22">
        <v>48</v>
      </c>
      <c r="C277" s="22">
        <v>4000</v>
      </c>
      <c r="D277" s="22">
        <v>7.2</v>
      </c>
    </row>
    <row r="278" spans="1:4" x14ac:dyDescent="0.3">
      <c r="A278" s="22">
        <v>64</v>
      </c>
      <c r="B278" s="22">
        <v>12</v>
      </c>
      <c r="C278" s="22">
        <v>4500</v>
      </c>
      <c r="D278" s="22">
        <v>6.6</v>
      </c>
    </row>
    <row r="279" spans="1:4" x14ac:dyDescent="0.3">
      <c r="A279" s="22">
        <v>256</v>
      </c>
      <c r="B279" s="22">
        <v>200</v>
      </c>
      <c r="C279" s="22">
        <v>4000</v>
      </c>
      <c r="D279" s="22">
        <v>6.3</v>
      </c>
    </row>
    <row r="280" spans="1:4" x14ac:dyDescent="0.3">
      <c r="A280" s="22">
        <v>128</v>
      </c>
      <c r="B280" s="22">
        <v>12</v>
      </c>
      <c r="C280" s="22">
        <v>4000</v>
      </c>
      <c r="D280" s="22">
        <v>6.5</v>
      </c>
    </row>
    <row r="281" spans="1:4" x14ac:dyDescent="0.3">
      <c r="A281" s="22">
        <v>128</v>
      </c>
      <c r="B281" s="22">
        <v>50</v>
      </c>
      <c r="C281" s="22">
        <v>4500</v>
      </c>
      <c r="D281" s="22">
        <v>5.9</v>
      </c>
    </row>
    <row r="282" spans="1:4" x14ac:dyDescent="0.3">
      <c r="A282" s="22">
        <v>64</v>
      </c>
      <c r="B282" s="22">
        <v>50</v>
      </c>
      <c r="C282" s="22">
        <v>6000</v>
      </c>
      <c r="D282" s="22">
        <v>6.5</v>
      </c>
    </row>
    <row r="283" spans="1:4" x14ac:dyDescent="0.3">
      <c r="A283" s="22">
        <v>256</v>
      </c>
      <c r="B283" s="22">
        <v>108</v>
      </c>
      <c r="C283" s="22">
        <v>4500</v>
      </c>
      <c r="D283" s="22">
        <v>5.7</v>
      </c>
    </row>
    <row r="284" spans="1:4" x14ac:dyDescent="0.3">
      <c r="A284" s="22">
        <v>128</v>
      </c>
      <c r="B284" s="22">
        <v>48</v>
      </c>
      <c r="C284" s="22">
        <v>5000</v>
      </c>
      <c r="D284" s="22">
        <v>6.8</v>
      </c>
    </row>
    <row r="285" spans="1:4" x14ac:dyDescent="0.3">
      <c r="A285" s="22">
        <v>512</v>
      </c>
      <c r="B285" s="22">
        <v>108</v>
      </c>
      <c r="C285" s="22">
        <v>5500</v>
      </c>
      <c r="D285" s="22">
        <v>6.4</v>
      </c>
    </row>
    <row r="286" spans="1:4" x14ac:dyDescent="0.3">
      <c r="A286" s="22">
        <v>64</v>
      </c>
      <c r="B286" s="22">
        <v>108</v>
      </c>
      <c r="C286" s="22">
        <v>4500</v>
      </c>
      <c r="D286" s="22">
        <v>6.2</v>
      </c>
    </row>
    <row r="287" spans="1:4" x14ac:dyDescent="0.3">
      <c r="A287" s="22">
        <v>256</v>
      </c>
      <c r="B287" s="22">
        <v>48</v>
      </c>
      <c r="C287" s="22">
        <v>5000</v>
      </c>
      <c r="D287" s="22">
        <v>6.5</v>
      </c>
    </row>
    <row r="288" spans="1:4" x14ac:dyDescent="0.3">
      <c r="A288" s="22">
        <v>256</v>
      </c>
      <c r="B288" s="22">
        <v>200</v>
      </c>
      <c r="C288" s="22">
        <v>4500</v>
      </c>
      <c r="D288" s="22">
        <v>6.6</v>
      </c>
    </row>
    <row r="289" spans="1:4" x14ac:dyDescent="0.3">
      <c r="A289" s="22">
        <v>1024</v>
      </c>
      <c r="B289" s="22">
        <v>12</v>
      </c>
      <c r="C289" s="22">
        <v>4500</v>
      </c>
      <c r="D289" s="22">
        <v>6.6</v>
      </c>
    </row>
    <row r="290" spans="1:4" x14ac:dyDescent="0.3">
      <c r="A290" s="22">
        <v>64</v>
      </c>
      <c r="B290" s="22">
        <v>108</v>
      </c>
      <c r="C290" s="22">
        <v>6000</v>
      </c>
      <c r="D290" s="22">
        <v>5.9</v>
      </c>
    </row>
    <row r="291" spans="1:4" x14ac:dyDescent="0.3">
      <c r="A291" s="22">
        <v>1024</v>
      </c>
      <c r="B291" s="22">
        <v>200</v>
      </c>
      <c r="C291" s="22">
        <v>4500</v>
      </c>
      <c r="D291" s="22">
        <v>6</v>
      </c>
    </row>
    <row r="292" spans="1:4" x14ac:dyDescent="0.3">
      <c r="A292" s="22">
        <v>256</v>
      </c>
      <c r="B292" s="22">
        <v>64</v>
      </c>
      <c r="C292" s="22">
        <v>4500</v>
      </c>
      <c r="D292" s="22">
        <v>6.9</v>
      </c>
    </row>
    <row r="293" spans="1:4" x14ac:dyDescent="0.3">
      <c r="A293" s="22">
        <v>128</v>
      </c>
      <c r="B293" s="22">
        <v>64</v>
      </c>
      <c r="C293" s="22">
        <v>6000</v>
      </c>
      <c r="D293" s="22">
        <v>7</v>
      </c>
    </row>
    <row r="294" spans="1:4" x14ac:dyDescent="0.3">
      <c r="A294" s="22">
        <v>256</v>
      </c>
      <c r="B294" s="22">
        <v>64</v>
      </c>
      <c r="C294" s="22">
        <v>6000</v>
      </c>
      <c r="D294" s="22">
        <v>5.9</v>
      </c>
    </row>
    <row r="295" spans="1:4" x14ac:dyDescent="0.3">
      <c r="A295" s="22">
        <v>1024</v>
      </c>
      <c r="B295" s="22">
        <v>12</v>
      </c>
      <c r="C295" s="22">
        <v>4000</v>
      </c>
      <c r="D295" s="22">
        <v>6</v>
      </c>
    </row>
    <row r="296" spans="1:4" x14ac:dyDescent="0.3">
      <c r="A296" s="22">
        <v>512</v>
      </c>
      <c r="B296" s="22">
        <v>108</v>
      </c>
      <c r="C296" s="22">
        <v>4500</v>
      </c>
      <c r="D296" s="22">
        <v>6.7</v>
      </c>
    </row>
    <row r="297" spans="1:4" x14ac:dyDescent="0.3">
      <c r="A297" s="22">
        <v>128</v>
      </c>
      <c r="B297" s="22">
        <v>200</v>
      </c>
      <c r="C297" s="22">
        <v>5500</v>
      </c>
      <c r="D297" s="22">
        <v>5.5</v>
      </c>
    </row>
    <row r="298" spans="1:4" x14ac:dyDescent="0.3">
      <c r="A298" s="22">
        <v>256</v>
      </c>
      <c r="B298" s="22">
        <v>48</v>
      </c>
      <c r="C298" s="22">
        <v>4000</v>
      </c>
      <c r="D298" s="22">
        <v>6.1</v>
      </c>
    </row>
    <row r="299" spans="1:4" x14ac:dyDescent="0.3">
      <c r="A299" s="22">
        <v>512</v>
      </c>
      <c r="B299" s="22">
        <v>50</v>
      </c>
      <c r="C299" s="22">
        <v>6000</v>
      </c>
      <c r="D299" s="22">
        <v>6.9</v>
      </c>
    </row>
    <row r="300" spans="1:4" x14ac:dyDescent="0.3">
      <c r="A300" s="22">
        <v>64</v>
      </c>
      <c r="B300" s="22">
        <v>108</v>
      </c>
      <c r="C300" s="22">
        <v>5500</v>
      </c>
      <c r="D300" s="22">
        <v>6.6</v>
      </c>
    </row>
    <row r="301" spans="1:4" x14ac:dyDescent="0.3">
      <c r="A301" s="22">
        <v>512</v>
      </c>
      <c r="B301" s="22">
        <v>50</v>
      </c>
      <c r="C301" s="22">
        <v>5500</v>
      </c>
      <c r="D301" s="22">
        <v>7.2</v>
      </c>
    </row>
    <row r="302" spans="1:4" x14ac:dyDescent="0.3">
      <c r="A302" s="22">
        <v>256</v>
      </c>
      <c r="B302" s="22">
        <v>64</v>
      </c>
      <c r="C302" s="22">
        <v>5000</v>
      </c>
      <c r="D302" s="22">
        <v>6.8</v>
      </c>
    </row>
    <row r="303" spans="1:4" x14ac:dyDescent="0.3">
      <c r="A303" s="22">
        <v>128</v>
      </c>
      <c r="B303" s="22">
        <v>50</v>
      </c>
      <c r="C303" s="22">
        <v>4500</v>
      </c>
      <c r="D303" s="22">
        <v>6</v>
      </c>
    </row>
    <row r="304" spans="1:4" x14ac:dyDescent="0.3">
      <c r="A304" s="22">
        <v>1024</v>
      </c>
      <c r="B304" s="22">
        <v>48</v>
      </c>
      <c r="C304" s="22">
        <v>4000</v>
      </c>
      <c r="D304" s="22">
        <v>5.5</v>
      </c>
    </row>
    <row r="305" spans="1:4" x14ac:dyDescent="0.3">
      <c r="A305" s="22">
        <v>128</v>
      </c>
      <c r="B305" s="22">
        <v>12</v>
      </c>
      <c r="C305" s="22">
        <v>4000</v>
      </c>
      <c r="D305" s="22">
        <v>6.3</v>
      </c>
    </row>
    <row r="306" spans="1:4" x14ac:dyDescent="0.3">
      <c r="A306" s="22">
        <v>512</v>
      </c>
      <c r="B306" s="22">
        <v>200</v>
      </c>
      <c r="C306" s="22">
        <v>5000</v>
      </c>
      <c r="D306" s="22">
        <v>6.5</v>
      </c>
    </row>
    <row r="307" spans="1:4" x14ac:dyDescent="0.3">
      <c r="A307" s="22">
        <v>256</v>
      </c>
      <c r="B307" s="22">
        <v>50</v>
      </c>
      <c r="C307" s="22">
        <v>4500</v>
      </c>
      <c r="D307" s="22">
        <v>6.7</v>
      </c>
    </row>
    <row r="308" spans="1:4" x14ac:dyDescent="0.3">
      <c r="A308" s="22">
        <v>512</v>
      </c>
      <c r="B308" s="22">
        <v>48</v>
      </c>
      <c r="C308" s="22">
        <v>6000</v>
      </c>
      <c r="D308" s="22">
        <v>6.6</v>
      </c>
    </row>
    <row r="309" spans="1:4" x14ac:dyDescent="0.3">
      <c r="A309" s="22">
        <v>64</v>
      </c>
      <c r="B309" s="22">
        <v>108</v>
      </c>
      <c r="C309" s="22">
        <v>4000</v>
      </c>
      <c r="D309" s="22">
        <v>6.9</v>
      </c>
    </row>
    <row r="310" spans="1:4" x14ac:dyDescent="0.3">
      <c r="A310" s="22">
        <v>128</v>
      </c>
      <c r="B310" s="22">
        <v>108</v>
      </c>
      <c r="C310" s="22">
        <v>5500</v>
      </c>
      <c r="D310" s="22">
        <v>5.7</v>
      </c>
    </row>
    <row r="311" spans="1:4" x14ac:dyDescent="0.3">
      <c r="A311" s="22">
        <v>512</v>
      </c>
      <c r="B311" s="22">
        <v>200</v>
      </c>
      <c r="C311" s="22">
        <v>5000</v>
      </c>
      <c r="D311" s="22">
        <v>5.6</v>
      </c>
    </row>
    <row r="312" spans="1:4" x14ac:dyDescent="0.3">
      <c r="A312" s="22">
        <v>128</v>
      </c>
      <c r="B312" s="22">
        <v>50</v>
      </c>
      <c r="C312" s="22">
        <v>4500</v>
      </c>
      <c r="D312" s="22">
        <v>6.4</v>
      </c>
    </row>
    <row r="313" spans="1:4" x14ac:dyDescent="0.3">
      <c r="A313" s="22">
        <v>1024</v>
      </c>
      <c r="B313" s="22">
        <v>200</v>
      </c>
      <c r="C313" s="22">
        <v>4000</v>
      </c>
      <c r="D313" s="22">
        <v>6.8</v>
      </c>
    </row>
    <row r="314" spans="1:4" x14ac:dyDescent="0.3">
      <c r="A314" s="22">
        <v>1024</v>
      </c>
      <c r="B314" s="22">
        <v>64</v>
      </c>
      <c r="C314" s="22">
        <v>5000</v>
      </c>
      <c r="D314" s="22">
        <v>6.5</v>
      </c>
    </row>
    <row r="315" spans="1:4" x14ac:dyDescent="0.3">
      <c r="A315" s="22">
        <v>256</v>
      </c>
      <c r="B315" s="22">
        <v>64</v>
      </c>
      <c r="C315" s="22">
        <v>5000</v>
      </c>
      <c r="D315" s="22">
        <v>5.7</v>
      </c>
    </row>
    <row r="316" spans="1:4" x14ac:dyDescent="0.3">
      <c r="A316" s="22">
        <v>128</v>
      </c>
      <c r="B316" s="22">
        <v>200</v>
      </c>
      <c r="C316" s="22">
        <v>4000</v>
      </c>
      <c r="D316" s="22">
        <v>7</v>
      </c>
    </row>
    <row r="317" spans="1:4" x14ac:dyDescent="0.3">
      <c r="A317" s="22">
        <v>64</v>
      </c>
      <c r="B317" s="22">
        <v>50</v>
      </c>
      <c r="C317" s="22">
        <v>4000</v>
      </c>
      <c r="D317" s="22">
        <v>6.6</v>
      </c>
    </row>
    <row r="318" spans="1:4" x14ac:dyDescent="0.3">
      <c r="A318" s="22">
        <v>256</v>
      </c>
      <c r="B318" s="22">
        <v>200</v>
      </c>
      <c r="C318" s="22">
        <v>4000</v>
      </c>
      <c r="D318" s="22">
        <v>6.6</v>
      </c>
    </row>
    <row r="319" spans="1:4" x14ac:dyDescent="0.3">
      <c r="A319" s="22">
        <v>512</v>
      </c>
      <c r="B319" s="22">
        <v>50</v>
      </c>
      <c r="C319" s="22">
        <v>4500</v>
      </c>
      <c r="D319" s="22">
        <v>7.2</v>
      </c>
    </row>
    <row r="320" spans="1:4" x14ac:dyDescent="0.3">
      <c r="A320" s="22">
        <v>256</v>
      </c>
      <c r="B320" s="22">
        <v>50</v>
      </c>
      <c r="C320" s="22">
        <v>4500</v>
      </c>
      <c r="D320" s="22">
        <v>5.6</v>
      </c>
    </row>
    <row r="321" spans="1:4" x14ac:dyDescent="0.3">
      <c r="A321" s="22">
        <v>256</v>
      </c>
      <c r="B321" s="22">
        <v>64</v>
      </c>
      <c r="C321" s="22">
        <v>5500</v>
      </c>
      <c r="D321" s="22">
        <v>6.8</v>
      </c>
    </row>
    <row r="322" spans="1:4" x14ac:dyDescent="0.3">
      <c r="A322" s="22">
        <v>1024</v>
      </c>
      <c r="B322" s="22">
        <v>50</v>
      </c>
      <c r="C322" s="22">
        <v>6000</v>
      </c>
      <c r="D322" s="22">
        <v>6.9</v>
      </c>
    </row>
    <row r="323" spans="1:4" x14ac:dyDescent="0.3">
      <c r="A323" s="22">
        <v>1024</v>
      </c>
      <c r="B323" s="22">
        <v>200</v>
      </c>
      <c r="C323" s="22">
        <v>4500</v>
      </c>
      <c r="D323" s="22">
        <v>6.3</v>
      </c>
    </row>
    <row r="324" spans="1:4" x14ac:dyDescent="0.3">
      <c r="A324" s="22">
        <v>128</v>
      </c>
      <c r="B324" s="22">
        <v>108</v>
      </c>
      <c r="C324" s="22">
        <v>5000</v>
      </c>
      <c r="D324" s="22">
        <v>6.8</v>
      </c>
    </row>
    <row r="325" spans="1:4" x14ac:dyDescent="0.3">
      <c r="A325" s="22">
        <v>64</v>
      </c>
      <c r="B325" s="22">
        <v>12</v>
      </c>
      <c r="C325" s="22">
        <v>5500</v>
      </c>
      <c r="D325" s="22">
        <v>6.7</v>
      </c>
    </row>
    <row r="326" spans="1:4" x14ac:dyDescent="0.3">
      <c r="A326" s="22">
        <v>1024</v>
      </c>
      <c r="B326" s="22">
        <v>108</v>
      </c>
      <c r="C326" s="22">
        <v>5500</v>
      </c>
      <c r="D326" s="22">
        <v>5.6</v>
      </c>
    </row>
    <row r="327" spans="1:4" x14ac:dyDescent="0.3">
      <c r="A327" s="22">
        <v>1024</v>
      </c>
      <c r="B327" s="22">
        <v>108</v>
      </c>
      <c r="C327" s="22">
        <v>5500</v>
      </c>
      <c r="D327" s="22">
        <v>6.3</v>
      </c>
    </row>
    <row r="328" spans="1:4" x14ac:dyDescent="0.3">
      <c r="A328" s="22">
        <v>512</v>
      </c>
      <c r="B328" s="22">
        <v>108</v>
      </c>
      <c r="C328" s="22">
        <v>4000</v>
      </c>
      <c r="D328" s="22">
        <v>6.1</v>
      </c>
    </row>
    <row r="329" spans="1:4" x14ac:dyDescent="0.3">
      <c r="A329" s="22">
        <v>512</v>
      </c>
      <c r="B329" s="22">
        <v>108</v>
      </c>
      <c r="C329" s="22">
        <v>4000</v>
      </c>
      <c r="D329" s="22">
        <v>6</v>
      </c>
    </row>
    <row r="330" spans="1:4" x14ac:dyDescent="0.3">
      <c r="A330" s="22">
        <v>512</v>
      </c>
      <c r="B330" s="22">
        <v>200</v>
      </c>
      <c r="C330" s="22">
        <v>6000</v>
      </c>
      <c r="D330" s="22">
        <v>5.9</v>
      </c>
    </row>
    <row r="331" spans="1:4" x14ac:dyDescent="0.3">
      <c r="A331" s="22">
        <v>64</v>
      </c>
      <c r="B331" s="22">
        <v>12</v>
      </c>
      <c r="C331" s="22">
        <v>5000</v>
      </c>
      <c r="D331" s="22">
        <v>7</v>
      </c>
    </row>
    <row r="332" spans="1:4" x14ac:dyDescent="0.3">
      <c r="A332" s="22">
        <v>256</v>
      </c>
      <c r="B332" s="22">
        <v>48</v>
      </c>
      <c r="C332" s="22">
        <v>5000</v>
      </c>
      <c r="D332" s="22">
        <v>6.6</v>
      </c>
    </row>
    <row r="333" spans="1:4" x14ac:dyDescent="0.3">
      <c r="A333" s="22">
        <v>1024</v>
      </c>
      <c r="B333" s="22">
        <v>50</v>
      </c>
      <c r="C333" s="22">
        <v>5000</v>
      </c>
      <c r="D333" s="22">
        <v>6</v>
      </c>
    </row>
    <row r="334" spans="1:4" x14ac:dyDescent="0.3">
      <c r="A334" s="22">
        <v>128</v>
      </c>
      <c r="B334" s="22">
        <v>48</v>
      </c>
      <c r="C334" s="22">
        <v>4000</v>
      </c>
      <c r="D334" s="22">
        <v>7.1</v>
      </c>
    </row>
    <row r="335" spans="1:4" x14ac:dyDescent="0.3">
      <c r="A335" s="22">
        <v>256</v>
      </c>
      <c r="B335" s="22">
        <v>12</v>
      </c>
      <c r="C335" s="22">
        <v>5500</v>
      </c>
      <c r="D335" s="22">
        <v>7</v>
      </c>
    </row>
    <row r="336" spans="1:4" x14ac:dyDescent="0.3">
      <c r="A336" s="22">
        <v>512</v>
      </c>
      <c r="B336" s="22">
        <v>108</v>
      </c>
      <c r="C336" s="22">
        <v>6000</v>
      </c>
      <c r="D336" s="22">
        <v>5.9</v>
      </c>
    </row>
    <row r="337" spans="1:4" x14ac:dyDescent="0.3">
      <c r="A337" s="22">
        <v>512</v>
      </c>
      <c r="B337" s="22">
        <v>108</v>
      </c>
      <c r="C337" s="22">
        <v>4500</v>
      </c>
      <c r="D337" s="22">
        <v>6.9</v>
      </c>
    </row>
    <row r="338" spans="1:4" x14ac:dyDescent="0.3">
      <c r="A338" s="22">
        <v>512</v>
      </c>
      <c r="B338" s="22">
        <v>108</v>
      </c>
      <c r="C338" s="22">
        <v>5000</v>
      </c>
      <c r="D338" s="22">
        <v>6.4</v>
      </c>
    </row>
    <row r="339" spans="1:4" x14ac:dyDescent="0.3">
      <c r="A339" s="22">
        <v>64</v>
      </c>
      <c r="B339" s="22">
        <v>12</v>
      </c>
      <c r="C339" s="22">
        <v>5500</v>
      </c>
      <c r="D339" s="22">
        <v>7.1</v>
      </c>
    </row>
    <row r="340" spans="1:4" x14ac:dyDescent="0.3">
      <c r="A340" s="22">
        <v>64</v>
      </c>
      <c r="B340" s="22">
        <v>200</v>
      </c>
      <c r="C340" s="22">
        <v>4500</v>
      </c>
      <c r="D340" s="22">
        <v>7.1</v>
      </c>
    </row>
    <row r="341" spans="1:4" x14ac:dyDescent="0.3">
      <c r="A341" s="22">
        <v>64</v>
      </c>
      <c r="B341" s="22">
        <v>108</v>
      </c>
      <c r="C341" s="22">
        <v>6000</v>
      </c>
      <c r="D341" s="22">
        <v>6.2</v>
      </c>
    </row>
    <row r="342" spans="1:4" x14ac:dyDescent="0.3">
      <c r="A342" s="22">
        <v>512</v>
      </c>
      <c r="B342" s="22">
        <v>48</v>
      </c>
      <c r="C342" s="22">
        <v>4500</v>
      </c>
      <c r="D342" s="22">
        <v>5.6</v>
      </c>
    </row>
    <row r="343" spans="1:4" x14ac:dyDescent="0.3">
      <c r="A343" s="22">
        <v>64</v>
      </c>
      <c r="B343" s="22">
        <v>12</v>
      </c>
      <c r="C343" s="22">
        <v>5000</v>
      </c>
      <c r="D343" s="22">
        <v>6.1</v>
      </c>
    </row>
    <row r="344" spans="1:4" x14ac:dyDescent="0.3">
      <c r="A344" s="22">
        <v>1024</v>
      </c>
      <c r="B344" s="22">
        <v>50</v>
      </c>
      <c r="C344" s="22">
        <v>4500</v>
      </c>
      <c r="D344" s="22">
        <v>5.9</v>
      </c>
    </row>
    <row r="345" spans="1:4" x14ac:dyDescent="0.3">
      <c r="A345" s="22">
        <v>128</v>
      </c>
      <c r="B345" s="22">
        <v>64</v>
      </c>
      <c r="C345" s="22">
        <v>4500</v>
      </c>
      <c r="D345" s="22">
        <v>6.9</v>
      </c>
    </row>
    <row r="346" spans="1:4" x14ac:dyDescent="0.3">
      <c r="A346" s="22">
        <v>64</v>
      </c>
      <c r="B346" s="22">
        <v>200</v>
      </c>
      <c r="C346" s="22">
        <v>4000</v>
      </c>
      <c r="D346" s="22">
        <v>7.2</v>
      </c>
    </row>
    <row r="347" spans="1:4" x14ac:dyDescent="0.3">
      <c r="A347" s="22">
        <v>1024</v>
      </c>
      <c r="B347" s="22">
        <v>50</v>
      </c>
      <c r="C347" s="22">
        <v>4500</v>
      </c>
      <c r="D347" s="22">
        <v>6.5</v>
      </c>
    </row>
    <row r="348" spans="1:4" x14ac:dyDescent="0.3">
      <c r="A348" s="22">
        <v>64</v>
      </c>
      <c r="B348" s="22">
        <v>50</v>
      </c>
      <c r="C348" s="22">
        <v>6000</v>
      </c>
      <c r="D348" s="22">
        <v>6.6</v>
      </c>
    </row>
    <row r="349" spans="1:4" x14ac:dyDescent="0.3">
      <c r="A349" s="22">
        <v>512</v>
      </c>
      <c r="B349" s="22">
        <v>50</v>
      </c>
      <c r="C349" s="22">
        <v>6000</v>
      </c>
      <c r="D349" s="22">
        <v>6.3</v>
      </c>
    </row>
    <row r="350" spans="1:4" x14ac:dyDescent="0.3">
      <c r="A350" s="22">
        <v>128</v>
      </c>
      <c r="B350" s="22">
        <v>200</v>
      </c>
      <c r="C350" s="22">
        <v>6000</v>
      </c>
      <c r="D350" s="22">
        <v>6.1</v>
      </c>
    </row>
    <row r="351" spans="1:4" x14ac:dyDescent="0.3">
      <c r="A351" s="22">
        <v>512</v>
      </c>
      <c r="B351" s="22">
        <v>108</v>
      </c>
      <c r="C351" s="22">
        <v>6000</v>
      </c>
      <c r="D351" s="22">
        <v>5.9</v>
      </c>
    </row>
    <row r="352" spans="1:4" x14ac:dyDescent="0.3">
      <c r="A352" s="22">
        <v>512</v>
      </c>
      <c r="B352" s="22">
        <v>64</v>
      </c>
      <c r="C352" s="22">
        <v>4000</v>
      </c>
      <c r="D352" s="22">
        <v>5.6</v>
      </c>
    </row>
    <row r="353" spans="1:4" x14ac:dyDescent="0.3">
      <c r="A353" s="22">
        <v>64</v>
      </c>
      <c r="B353" s="22">
        <v>64</v>
      </c>
      <c r="C353" s="22">
        <v>5000</v>
      </c>
      <c r="D353" s="22">
        <v>7.2</v>
      </c>
    </row>
    <row r="354" spans="1:4" x14ac:dyDescent="0.3">
      <c r="A354" s="22">
        <v>128</v>
      </c>
      <c r="B354" s="22">
        <v>48</v>
      </c>
      <c r="C354" s="22">
        <v>6000</v>
      </c>
      <c r="D354" s="22">
        <v>5.8</v>
      </c>
    </row>
    <row r="355" spans="1:4" x14ac:dyDescent="0.3">
      <c r="A355" s="22">
        <v>256</v>
      </c>
      <c r="B355" s="22">
        <v>64</v>
      </c>
      <c r="C355" s="22">
        <v>6000</v>
      </c>
      <c r="D355" s="22">
        <v>7.1</v>
      </c>
    </row>
    <row r="356" spans="1:4" x14ac:dyDescent="0.3">
      <c r="A356" s="22">
        <v>1024</v>
      </c>
      <c r="B356" s="22">
        <v>12</v>
      </c>
      <c r="C356" s="22">
        <v>4000</v>
      </c>
      <c r="D356" s="22">
        <v>6.8</v>
      </c>
    </row>
    <row r="357" spans="1:4" x14ac:dyDescent="0.3">
      <c r="A357" s="22">
        <v>128</v>
      </c>
      <c r="B357" s="22">
        <v>48</v>
      </c>
      <c r="C357" s="22">
        <v>5500</v>
      </c>
      <c r="D357" s="22">
        <v>6</v>
      </c>
    </row>
    <row r="358" spans="1:4" x14ac:dyDescent="0.3">
      <c r="A358" s="22">
        <v>128</v>
      </c>
      <c r="B358" s="22">
        <v>12</v>
      </c>
      <c r="C358" s="22">
        <v>4500</v>
      </c>
      <c r="D358" s="22">
        <v>6.9</v>
      </c>
    </row>
    <row r="359" spans="1:4" x14ac:dyDescent="0.3">
      <c r="A359" s="22">
        <v>64</v>
      </c>
      <c r="B359" s="22">
        <v>200</v>
      </c>
      <c r="C359" s="22">
        <v>5000</v>
      </c>
      <c r="D359" s="22">
        <v>7.1</v>
      </c>
    </row>
    <row r="360" spans="1:4" x14ac:dyDescent="0.3">
      <c r="A360" s="22">
        <v>64</v>
      </c>
      <c r="B360" s="22">
        <v>12</v>
      </c>
      <c r="C360" s="22">
        <v>4000</v>
      </c>
      <c r="D360" s="22">
        <v>6.9</v>
      </c>
    </row>
    <row r="361" spans="1:4" x14ac:dyDescent="0.3">
      <c r="A361" s="22">
        <v>512</v>
      </c>
      <c r="B361" s="22">
        <v>200</v>
      </c>
      <c r="C361" s="22">
        <v>5000</v>
      </c>
      <c r="D361" s="22">
        <v>6</v>
      </c>
    </row>
    <row r="362" spans="1:4" x14ac:dyDescent="0.3">
      <c r="A362" s="22">
        <v>256</v>
      </c>
      <c r="B362" s="22">
        <v>108</v>
      </c>
      <c r="C362" s="22">
        <v>5500</v>
      </c>
      <c r="D362" s="22">
        <v>7</v>
      </c>
    </row>
    <row r="363" spans="1:4" x14ac:dyDescent="0.3">
      <c r="A363" s="22">
        <v>512</v>
      </c>
      <c r="B363" s="22">
        <v>200</v>
      </c>
      <c r="C363" s="22">
        <v>5000</v>
      </c>
      <c r="D363" s="22">
        <v>5.6</v>
      </c>
    </row>
    <row r="364" spans="1:4" x14ac:dyDescent="0.3">
      <c r="A364" s="22">
        <v>1024</v>
      </c>
      <c r="B364" s="22">
        <v>48</v>
      </c>
      <c r="C364" s="22">
        <v>4500</v>
      </c>
      <c r="D364" s="22">
        <v>7</v>
      </c>
    </row>
    <row r="365" spans="1:4" x14ac:dyDescent="0.3">
      <c r="A365" s="22">
        <v>256</v>
      </c>
      <c r="B365" s="22">
        <v>50</v>
      </c>
      <c r="C365" s="22">
        <v>6000</v>
      </c>
      <c r="D365" s="22">
        <v>6.5</v>
      </c>
    </row>
    <row r="366" spans="1:4" x14ac:dyDescent="0.3">
      <c r="A366" s="22">
        <v>64</v>
      </c>
      <c r="B366" s="22">
        <v>48</v>
      </c>
      <c r="C366" s="22">
        <v>6000</v>
      </c>
      <c r="D366" s="22">
        <v>7.2</v>
      </c>
    </row>
    <row r="367" spans="1:4" x14ac:dyDescent="0.3">
      <c r="A367" s="22">
        <v>128</v>
      </c>
      <c r="B367" s="22">
        <v>12</v>
      </c>
      <c r="C367" s="22">
        <v>4000</v>
      </c>
      <c r="D367" s="22">
        <v>5.5</v>
      </c>
    </row>
    <row r="368" spans="1:4" x14ac:dyDescent="0.3">
      <c r="A368" s="22">
        <v>64</v>
      </c>
      <c r="B368" s="22">
        <v>64</v>
      </c>
      <c r="C368" s="22">
        <v>6000</v>
      </c>
      <c r="D368" s="22">
        <v>6.4</v>
      </c>
    </row>
    <row r="369" spans="1:4" x14ac:dyDescent="0.3">
      <c r="A369" s="22">
        <v>256</v>
      </c>
      <c r="B369" s="22">
        <v>200</v>
      </c>
      <c r="C369" s="22">
        <v>5500</v>
      </c>
      <c r="D369" s="22">
        <v>7.1</v>
      </c>
    </row>
    <row r="370" spans="1:4" x14ac:dyDescent="0.3">
      <c r="A370" s="22">
        <v>128</v>
      </c>
      <c r="B370" s="22">
        <v>108</v>
      </c>
      <c r="C370" s="22">
        <v>5000</v>
      </c>
      <c r="D370" s="22">
        <v>6</v>
      </c>
    </row>
    <row r="371" spans="1:4" x14ac:dyDescent="0.3">
      <c r="A371" s="22">
        <v>512</v>
      </c>
      <c r="B371" s="22">
        <v>48</v>
      </c>
      <c r="C371" s="22">
        <v>6000</v>
      </c>
      <c r="D371" s="22">
        <v>6.2</v>
      </c>
    </row>
    <row r="372" spans="1:4" x14ac:dyDescent="0.3">
      <c r="A372" s="22">
        <v>64</v>
      </c>
      <c r="B372" s="22">
        <v>12</v>
      </c>
      <c r="C372" s="22">
        <v>4000</v>
      </c>
      <c r="D372" s="22">
        <v>6.8</v>
      </c>
    </row>
    <row r="373" spans="1:4" x14ac:dyDescent="0.3">
      <c r="A373" s="22">
        <v>128</v>
      </c>
      <c r="B373" s="22">
        <v>50</v>
      </c>
      <c r="C373" s="22">
        <v>5000</v>
      </c>
      <c r="D373" s="22">
        <v>6.8</v>
      </c>
    </row>
    <row r="374" spans="1:4" x14ac:dyDescent="0.3">
      <c r="A374" s="22">
        <v>128</v>
      </c>
      <c r="B374" s="22">
        <v>64</v>
      </c>
      <c r="C374" s="22">
        <v>6000</v>
      </c>
      <c r="D374" s="22">
        <v>6.5</v>
      </c>
    </row>
    <row r="375" spans="1:4" x14ac:dyDescent="0.3">
      <c r="A375" s="22">
        <v>1024</v>
      </c>
      <c r="B375" s="22">
        <v>200</v>
      </c>
      <c r="C375" s="22">
        <v>4500</v>
      </c>
      <c r="D375" s="22">
        <v>6</v>
      </c>
    </row>
    <row r="376" spans="1:4" x14ac:dyDescent="0.3">
      <c r="A376" s="22">
        <v>1024</v>
      </c>
      <c r="B376" s="22">
        <v>108</v>
      </c>
      <c r="C376" s="22">
        <v>4500</v>
      </c>
      <c r="D376" s="22">
        <v>6.4</v>
      </c>
    </row>
    <row r="377" spans="1:4" x14ac:dyDescent="0.3">
      <c r="A377" s="22">
        <v>64</v>
      </c>
      <c r="B377" s="22">
        <v>12</v>
      </c>
      <c r="C377" s="22">
        <v>5500</v>
      </c>
      <c r="D377" s="22">
        <v>6.2</v>
      </c>
    </row>
    <row r="378" spans="1:4" x14ac:dyDescent="0.3">
      <c r="A378" s="22">
        <v>1024</v>
      </c>
      <c r="B378" s="22">
        <v>64</v>
      </c>
      <c r="C378" s="22">
        <v>4500</v>
      </c>
      <c r="D378" s="22">
        <v>5.7</v>
      </c>
    </row>
    <row r="379" spans="1:4" x14ac:dyDescent="0.3">
      <c r="A379" s="22">
        <v>128</v>
      </c>
      <c r="B379" s="22">
        <v>200</v>
      </c>
      <c r="C379" s="22">
        <v>6000</v>
      </c>
      <c r="D379" s="22">
        <v>6</v>
      </c>
    </row>
    <row r="380" spans="1:4" x14ac:dyDescent="0.3">
      <c r="A380" s="22">
        <v>512</v>
      </c>
      <c r="B380" s="22">
        <v>12</v>
      </c>
      <c r="C380" s="22">
        <v>6000</v>
      </c>
      <c r="D380" s="22">
        <v>7</v>
      </c>
    </row>
    <row r="381" spans="1:4" x14ac:dyDescent="0.3">
      <c r="A381" s="22">
        <v>128</v>
      </c>
      <c r="B381" s="22">
        <v>64</v>
      </c>
      <c r="C381" s="22">
        <v>5000</v>
      </c>
      <c r="D381" s="22">
        <v>6.9</v>
      </c>
    </row>
    <row r="382" spans="1:4" x14ac:dyDescent="0.3">
      <c r="A382" s="22">
        <v>64</v>
      </c>
      <c r="B382" s="22">
        <v>108</v>
      </c>
      <c r="C382" s="22">
        <v>5000</v>
      </c>
      <c r="D382" s="22">
        <v>5.7</v>
      </c>
    </row>
    <row r="383" spans="1:4" x14ac:dyDescent="0.3">
      <c r="A383" s="22">
        <v>512</v>
      </c>
      <c r="B383" s="22">
        <v>50</v>
      </c>
      <c r="C383" s="22">
        <v>4000</v>
      </c>
      <c r="D383" s="22">
        <v>7.2</v>
      </c>
    </row>
    <row r="384" spans="1:4" x14ac:dyDescent="0.3">
      <c r="A384" s="22">
        <v>64</v>
      </c>
      <c r="B384" s="22">
        <v>200</v>
      </c>
      <c r="C384" s="22">
        <v>4000</v>
      </c>
      <c r="D384" s="22">
        <v>6.8</v>
      </c>
    </row>
    <row r="385" spans="1:4" x14ac:dyDescent="0.3">
      <c r="A385" s="22">
        <v>64</v>
      </c>
      <c r="B385" s="22">
        <v>48</v>
      </c>
      <c r="C385" s="22">
        <v>5000</v>
      </c>
      <c r="D385" s="22">
        <v>5.5</v>
      </c>
    </row>
    <row r="386" spans="1:4" x14ac:dyDescent="0.3">
      <c r="A386" s="22">
        <v>1024</v>
      </c>
      <c r="B386" s="22">
        <v>64</v>
      </c>
      <c r="C386" s="22">
        <v>5000</v>
      </c>
      <c r="D386" s="22">
        <v>7.2</v>
      </c>
    </row>
    <row r="387" spans="1:4" x14ac:dyDescent="0.3">
      <c r="A387" s="22">
        <v>256</v>
      </c>
      <c r="B387" s="22">
        <v>200</v>
      </c>
      <c r="C387" s="22">
        <v>4000</v>
      </c>
      <c r="D387" s="22">
        <v>6.5</v>
      </c>
    </row>
    <row r="388" spans="1:4" x14ac:dyDescent="0.3">
      <c r="A388" s="22">
        <v>256</v>
      </c>
      <c r="B388" s="22">
        <v>50</v>
      </c>
      <c r="C388" s="22">
        <v>5000</v>
      </c>
      <c r="D388" s="22">
        <v>6.1</v>
      </c>
    </row>
    <row r="389" spans="1:4" x14ac:dyDescent="0.3">
      <c r="A389" s="22">
        <v>512</v>
      </c>
      <c r="B389" s="22">
        <v>108</v>
      </c>
      <c r="C389" s="22">
        <v>6000</v>
      </c>
      <c r="D389" s="22">
        <v>5.8</v>
      </c>
    </row>
    <row r="390" spans="1:4" x14ac:dyDescent="0.3">
      <c r="A390" s="22">
        <v>128</v>
      </c>
      <c r="B390" s="22">
        <v>64</v>
      </c>
      <c r="C390" s="22">
        <v>4500</v>
      </c>
      <c r="D390" s="22">
        <v>6.6</v>
      </c>
    </row>
    <row r="391" spans="1:4" x14ac:dyDescent="0.3">
      <c r="A391" s="22">
        <v>64</v>
      </c>
      <c r="B391" s="22">
        <v>12</v>
      </c>
      <c r="C391" s="22">
        <v>5500</v>
      </c>
      <c r="D391" s="22">
        <v>5.6</v>
      </c>
    </row>
    <row r="392" spans="1:4" x14ac:dyDescent="0.3">
      <c r="A392" s="22">
        <v>64</v>
      </c>
      <c r="B392" s="22">
        <v>50</v>
      </c>
      <c r="C392" s="22">
        <v>4000</v>
      </c>
      <c r="D392" s="22">
        <v>6.8</v>
      </c>
    </row>
    <row r="393" spans="1:4" x14ac:dyDescent="0.3">
      <c r="A393" s="22">
        <v>1024</v>
      </c>
      <c r="B393" s="22">
        <v>48</v>
      </c>
      <c r="C393" s="22">
        <v>6000</v>
      </c>
      <c r="D393" s="22">
        <v>6.9</v>
      </c>
    </row>
    <row r="394" spans="1:4" x14ac:dyDescent="0.3">
      <c r="A394" s="22">
        <v>64</v>
      </c>
      <c r="B394" s="22">
        <v>48</v>
      </c>
      <c r="C394" s="22">
        <v>4500</v>
      </c>
      <c r="D394" s="22">
        <v>6.8</v>
      </c>
    </row>
    <row r="395" spans="1:4" x14ac:dyDescent="0.3">
      <c r="A395" s="22">
        <v>64</v>
      </c>
      <c r="B395" s="22">
        <v>64</v>
      </c>
      <c r="C395" s="22">
        <v>5500</v>
      </c>
      <c r="D395" s="22">
        <v>6.1</v>
      </c>
    </row>
    <row r="396" spans="1:4" x14ac:dyDescent="0.3">
      <c r="A396" s="22">
        <v>1024</v>
      </c>
      <c r="B396" s="22">
        <v>48</v>
      </c>
      <c r="C396" s="22">
        <v>5500</v>
      </c>
      <c r="D396" s="22">
        <v>5.7</v>
      </c>
    </row>
    <row r="397" spans="1:4" x14ac:dyDescent="0.3">
      <c r="A397" s="22">
        <v>512</v>
      </c>
      <c r="B397" s="22">
        <v>12</v>
      </c>
      <c r="C397" s="22">
        <v>6000</v>
      </c>
      <c r="D397" s="22">
        <v>6</v>
      </c>
    </row>
    <row r="398" spans="1:4" x14ac:dyDescent="0.3">
      <c r="A398" s="22">
        <v>128</v>
      </c>
      <c r="B398" s="22">
        <v>48</v>
      </c>
      <c r="C398" s="22">
        <v>4000</v>
      </c>
      <c r="D398" s="22">
        <v>5.7</v>
      </c>
    </row>
    <row r="399" spans="1:4" x14ac:dyDescent="0.3">
      <c r="A399" s="22">
        <v>128</v>
      </c>
      <c r="B399" s="22">
        <v>64</v>
      </c>
      <c r="C399" s="22">
        <v>5500</v>
      </c>
      <c r="D399" s="22">
        <v>6.3</v>
      </c>
    </row>
    <row r="400" spans="1:4" x14ac:dyDescent="0.3">
      <c r="A400" s="22">
        <v>1024</v>
      </c>
      <c r="B400" s="22">
        <v>200</v>
      </c>
      <c r="C400" s="22">
        <v>5500</v>
      </c>
      <c r="D400" s="22">
        <v>6.7</v>
      </c>
    </row>
    <row r="401" spans="1:4" x14ac:dyDescent="0.3">
      <c r="A401" s="22">
        <v>128</v>
      </c>
      <c r="B401" s="22">
        <v>108</v>
      </c>
      <c r="C401" s="22">
        <v>5000</v>
      </c>
      <c r="D401" s="22">
        <v>7.2</v>
      </c>
    </row>
    <row r="402" spans="1:4" x14ac:dyDescent="0.3">
      <c r="A402" s="22">
        <v>256</v>
      </c>
      <c r="B402" s="22">
        <v>64</v>
      </c>
      <c r="C402" s="22">
        <v>5000</v>
      </c>
      <c r="D402" s="22">
        <v>7.2</v>
      </c>
    </row>
    <row r="403" spans="1:4" x14ac:dyDescent="0.3">
      <c r="A403" s="22">
        <v>256</v>
      </c>
      <c r="B403" s="22">
        <v>64</v>
      </c>
      <c r="C403" s="22">
        <v>5000</v>
      </c>
      <c r="D403" s="22">
        <v>5.7</v>
      </c>
    </row>
    <row r="404" spans="1:4" x14ac:dyDescent="0.3">
      <c r="A404" s="22">
        <v>128</v>
      </c>
      <c r="B404" s="22">
        <v>64</v>
      </c>
      <c r="C404" s="22">
        <v>6000</v>
      </c>
      <c r="D404" s="22">
        <v>5.6</v>
      </c>
    </row>
    <row r="405" spans="1:4" x14ac:dyDescent="0.3">
      <c r="A405" s="22">
        <v>1024</v>
      </c>
      <c r="B405" s="22">
        <v>200</v>
      </c>
      <c r="C405" s="22">
        <v>6000</v>
      </c>
      <c r="D405" s="22">
        <v>6.7</v>
      </c>
    </row>
    <row r="406" spans="1:4" x14ac:dyDescent="0.3">
      <c r="A406" s="22">
        <v>1024</v>
      </c>
      <c r="B406" s="22">
        <v>48</v>
      </c>
      <c r="C406" s="22">
        <v>6000</v>
      </c>
      <c r="D406" s="22">
        <v>5.6</v>
      </c>
    </row>
    <row r="407" spans="1:4" x14ac:dyDescent="0.3">
      <c r="A407" s="22">
        <v>64</v>
      </c>
      <c r="B407" s="22">
        <v>108</v>
      </c>
      <c r="C407" s="22">
        <v>5000</v>
      </c>
      <c r="D407" s="22">
        <v>5.5</v>
      </c>
    </row>
    <row r="408" spans="1:4" x14ac:dyDescent="0.3">
      <c r="A408" s="22">
        <v>256</v>
      </c>
      <c r="B408" s="22">
        <v>50</v>
      </c>
      <c r="C408" s="22">
        <v>5000</v>
      </c>
      <c r="D408" s="22">
        <v>6.4</v>
      </c>
    </row>
    <row r="409" spans="1:4" x14ac:dyDescent="0.3">
      <c r="A409" s="22">
        <v>1024</v>
      </c>
      <c r="B409" s="22">
        <v>50</v>
      </c>
      <c r="C409" s="22">
        <v>4000</v>
      </c>
      <c r="D409" s="22">
        <v>5.8</v>
      </c>
    </row>
    <row r="410" spans="1:4" x14ac:dyDescent="0.3">
      <c r="A410" s="22">
        <v>64</v>
      </c>
      <c r="B410" s="22">
        <v>200</v>
      </c>
      <c r="C410" s="22">
        <v>5500</v>
      </c>
      <c r="D410" s="22">
        <v>7.1</v>
      </c>
    </row>
    <row r="411" spans="1:4" x14ac:dyDescent="0.3">
      <c r="A411" s="22">
        <v>512</v>
      </c>
      <c r="B411" s="22">
        <v>50</v>
      </c>
      <c r="C411" s="22">
        <v>4500</v>
      </c>
      <c r="D411" s="22">
        <v>5.9</v>
      </c>
    </row>
    <row r="412" spans="1:4" x14ac:dyDescent="0.3">
      <c r="A412" s="22">
        <v>1024</v>
      </c>
      <c r="B412" s="22">
        <v>200</v>
      </c>
      <c r="C412" s="22">
        <v>5000</v>
      </c>
      <c r="D412" s="22">
        <v>6</v>
      </c>
    </row>
    <row r="413" spans="1:4" x14ac:dyDescent="0.3">
      <c r="A413" s="22">
        <v>128</v>
      </c>
      <c r="B413" s="22">
        <v>108</v>
      </c>
      <c r="C413" s="22">
        <v>4000</v>
      </c>
      <c r="D413" s="22">
        <v>6.4</v>
      </c>
    </row>
    <row r="414" spans="1:4" x14ac:dyDescent="0.3">
      <c r="A414" s="22">
        <v>64</v>
      </c>
      <c r="B414" s="22">
        <v>108</v>
      </c>
      <c r="C414" s="22">
        <v>5000</v>
      </c>
      <c r="D414" s="22">
        <v>5.7</v>
      </c>
    </row>
    <row r="415" spans="1:4" x14ac:dyDescent="0.3">
      <c r="A415" s="22">
        <v>64</v>
      </c>
      <c r="B415" s="22">
        <v>200</v>
      </c>
      <c r="C415" s="22">
        <v>5500</v>
      </c>
      <c r="D415" s="22">
        <v>5.6</v>
      </c>
    </row>
    <row r="416" spans="1:4" x14ac:dyDescent="0.3">
      <c r="A416" s="22">
        <v>1024</v>
      </c>
      <c r="B416" s="22">
        <v>50</v>
      </c>
      <c r="C416" s="22">
        <v>4000</v>
      </c>
      <c r="D416" s="22">
        <v>5.7</v>
      </c>
    </row>
    <row r="417" spans="1:4" x14ac:dyDescent="0.3">
      <c r="A417" s="22">
        <v>1024</v>
      </c>
      <c r="B417" s="22">
        <v>64</v>
      </c>
      <c r="C417" s="22">
        <v>4000</v>
      </c>
      <c r="D417" s="22">
        <v>7.1</v>
      </c>
    </row>
    <row r="418" spans="1:4" x14ac:dyDescent="0.3">
      <c r="A418" s="22">
        <v>64</v>
      </c>
      <c r="B418" s="22">
        <v>200</v>
      </c>
      <c r="C418" s="22">
        <v>5000</v>
      </c>
      <c r="D418" s="22">
        <v>6.9</v>
      </c>
    </row>
    <row r="419" spans="1:4" x14ac:dyDescent="0.3">
      <c r="A419" s="22">
        <v>512</v>
      </c>
      <c r="B419" s="22">
        <v>108</v>
      </c>
      <c r="C419" s="22">
        <v>5000</v>
      </c>
      <c r="D419" s="22">
        <v>5.7</v>
      </c>
    </row>
    <row r="420" spans="1:4" x14ac:dyDescent="0.3">
      <c r="A420" s="22">
        <v>1024</v>
      </c>
      <c r="B420" s="22">
        <v>200</v>
      </c>
      <c r="C420" s="22">
        <v>4500</v>
      </c>
      <c r="D420" s="22">
        <v>6.6</v>
      </c>
    </row>
    <row r="421" spans="1:4" x14ac:dyDescent="0.3">
      <c r="A421" s="22">
        <v>128</v>
      </c>
      <c r="B421" s="22">
        <v>50</v>
      </c>
      <c r="C421" s="22">
        <v>4000</v>
      </c>
      <c r="D421" s="22">
        <v>5.5</v>
      </c>
    </row>
    <row r="422" spans="1:4" x14ac:dyDescent="0.3">
      <c r="A422" s="22">
        <v>1024</v>
      </c>
      <c r="B422" s="22">
        <v>64</v>
      </c>
      <c r="C422" s="22">
        <v>4000</v>
      </c>
      <c r="D422" s="22">
        <v>5.9</v>
      </c>
    </row>
    <row r="423" spans="1:4" x14ac:dyDescent="0.3">
      <c r="A423" s="22">
        <v>128</v>
      </c>
      <c r="B423" s="22">
        <v>200</v>
      </c>
      <c r="C423" s="22">
        <v>4000</v>
      </c>
      <c r="D423" s="22">
        <v>6.1</v>
      </c>
    </row>
    <row r="424" spans="1:4" x14ac:dyDescent="0.3">
      <c r="A424" s="22">
        <v>256</v>
      </c>
      <c r="B424" s="22">
        <v>64</v>
      </c>
      <c r="C424" s="22">
        <v>4000</v>
      </c>
      <c r="D424" s="22">
        <v>6</v>
      </c>
    </row>
    <row r="425" spans="1:4" x14ac:dyDescent="0.3">
      <c r="A425" s="22">
        <v>256</v>
      </c>
      <c r="B425" s="22">
        <v>200</v>
      </c>
      <c r="C425" s="22">
        <v>4000</v>
      </c>
      <c r="D425" s="22">
        <v>5.5</v>
      </c>
    </row>
    <row r="426" spans="1:4" x14ac:dyDescent="0.3">
      <c r="A426" s="22">
        <v>64</v>
      </c>
      <c r="B426" s="22">
        <v>64</v>
      </c>
      <c r="C426" s="22">
        <v>6000</v>
      </c>
      <c r="D426" s="22">
        <v>5.6</v>
      </c>
    </row>
    <row r="427" spans="1:4" x14ac:dyDescent="0.3">
      <c r="A427" s="22">
        <v>64</v>
      </c>
      <c r="B427" s="22">
        <v>50</v>
      </c>
      <c r="C427" s="22">
        <v>4000</v>
      </c>
      <c r="D427" s="22">
        <v>7.1</v>
      </c>
    </row>
    <row r="428" spans="1:4" x14ac:dyDescent="0.3">
      <c r="A428" s="22">
        <v>256</v>
      </c>
      <c r="B428" s="22">
        <v>12</v>
      </c>
      <c r="C428" s="22">
        <v>4000</v>
      </c>
      <c r="D428" s="22">
        <v>6.8</v>
      </c>
    </row>
    <row r="429" spans="1:4" x14ac:dyDescent="0.3">
      <c r="A429" s="22">
        <v>1024</v>
      </c>
      <c r="B429" s="22">
        <v>12</v>
      </c>
      <c r="C429" s="22">
        <v>4000</v>
      </c>
      <c r="D429" s="22">
        <v>6.7</v>
      </c>
    </row>
    <row r="430" spans="1:4" x14ac:dyDescent="0.3">
      <c r="A430" s="22">
        <v>128</v>
      </c>
      <c r="B430" s="22">
        <v>200</v>
      </c>
      <c r="C430" s="22">
        <v>4500</v>
      </c>
      <c r="D430" s="22">
        <v>6.7</v>
      </c>
    </row>
    <row r="431" spans="1:4" x14ac:dyDescent="0.3">
      <c r="A431" s="22">
        <v>128</v>
      </c>
      <c r="B431" s="22">
        <v>64</v>
      </c>
      <c r="C431" s="22">
        <v>5000</v>
      </c>
      <c r="D431" s="22">
        <v>5.7</v>
      </c>
    </row>
    <row r="432" spans="1:4" x14ac:dyDescent="0.3">
      <c r="A432" s="22">
        <v>256</v>
      </c>
      <c r="B432" s="22">
        <v>64</v>
      </c>
      <c r="C432" s="22">
        <v>4500</v>
      </c>
      <c r="D432" s="22">
        <v>6.5</v>
      </c>
    </row>
    <row r="433" spans="1:4" x14ac:dyDescent="0.3">
      <c r="A433" s="22">
        <v>256</v>
      </c>
      <c r="B433" s="22">
        <v>50</v>
      </c>
      <c r="C433" s="22">
        <v>4000</v>
      </c>
      <c r="D433" s="22">
        <v>7.1</v>
      </c>
    </row>
    <row r="434" spans="1:4" x14ac:dyDescent="0.3">
      <c r="A434" s="22">
        <v>64</v>
      </c>
      <c r="B434" s="22">
        <v>48</v>
      </c>
      <c r="C434" s="22">
        <v>5500</v>
      </c>
      <c r="D434" s="22">
        <v>6.6</v>
      </c>
    </row>
    <row r="435" spans="1:4" x14ac:dyDescent="0.3">
      <c r="A435" s="22">
        <v>64</v>
      </c>
      <c r="B435" s="22">
        <v>50</v>
      </c>
      <c r="C435" s="22">
        <v>4500</v>
      </c>
      <c r="D435" s="22">
        <v>7.2</v>
      </c>
    </row>
    <row r="436" spans="1:4" x14ac:dyDescent="0.3">
      <c r="A436" s="22">
        <v>512</v>
      </c>
      <c r="B436" s="22">
        <v>64</v>
      </c>
      <c r="C436" s="22">
        <v>5000</v>
      </c>
      <c r="D436" s="22">
        <v>6.9</v>
      </c>
    </row>
    <row r="437" spans="1:4" x14ac:dyDescent="0.3">
      <c r="A437" s="22">
        <v>1024</v>
      </c>
      <c r="B437" s="22">
        <v>108</v>
      </c>
      <c r="C437" s="22">
        <v>4500</v>
      </c>
      <c r="D437" s="22">
        <v>6.3</v>
      </c>
    </row>
    <row r="438" spans="1:4" x14ac:dyDescent="0.3">
      <c r="A438" s="22">
        <v>128</v>
      </c>
      <c r="B438" s="22">
        <v>12</v>
      </c>
      <c r="C438" s="22">
        <v>5500</v>
      </c>
      <c r="D438" s="22">
        <v>7.1</v>
      </c>
    </row>
    <row r="439" spans="1:4" x14ac:dyDescent="0.3">
      <c r="A439" s="22">
        <v>128</v>
      </c>
      <c r="B439" s="22">
        <v>108</v>
      </c>
      <c r="C439" s="22">
        <v>4000</v>
      </c>
      <c r="D439" s="22">
        <v>5.7</v>
      </c>
    </row>
    <row r="440" spans="1:4" x14ac:dyDescent="0.3">
      <c r="A440" s="22">
        <v>64</v>
      </c>
      <c r="B440" s="22">
        <v>12</v>
      </c>
      <c r="C440" s="22">
        <v>4000</v>
      </c>
      <c r="D440" s="22">
        <v>6.1</v>
      </c>
    </row>
    <row r="441" spans="1:4" x14ac:dyDescent="0.3">
      <c r="A441" s="22">
        <v>64</v>
      </c>
      <c r="B441" s="22">
        <v>64</v>
      </c>
      <c r="C441" s="22">
        <v>5500</v>
      </c>
      <c r="D441" s="22">
        <v>6.8</v>
      </c>
    </row>
    <row r="442" spans="1:4" x14ac:dyDescent="0.3">
      <c r="A442" s="22">
        <v>64</v>
      </c>
      <c r="B442" s="22">
        <v>108</v>
      </c>
      <c r="C442" s="22">
        <v>4000</v>
      </c>
      <c r="D442" s="22">
        <v>5.6</v>
      </c>
    </row>
    <row r="443" spans="1:4" x14ac:dyDescent="0.3">
      <c r="A443" s="22">
        <v>64</v>
      </c>
      <c r="B443" s="22">
        <v>50</v>
      </c>
      <c r="C443" s="22">
        <v>6000</v>
      </c>
      <c r="D443" s="22">
        <v>7.1</v>
      </c>
    </row>
    <row r="444" spans="1:4" x14ac:dyDescent="0.3">
      <c r="A444" s="22">
        <v>128</v>
      </c>
      <c r="B444" s="22">
        <v>64</v>
      </c>
      <c r="C444" s="22">
        <v>6000</v>
      </c>
      <c r="D444" s="22">
        <v>7.1</v>
      </c>
    </row>
    <row r="445" spans="1:4" x14ac:dyDescent="0.3">
      <c r="A445" s="22">
        <v>256</v>
      </c>
      <c r="B445" s="22">
        <v>50</v>
      </c>
      <c r="C445" s="22">
        <v>6000</v>
      </c>
      <c r="D445" s="22">
        <v>6</v>
      </c>
    </row>
    <row r="446" spans="1:4" x14ac:dyDescent="0.3">
      <c r="A446" s="22">
        <v>512</v>
      </c>
      <c r="B446" s="22">
        <v>108</v>
      </c>
      <c r="C446" s="22">
        <v>5000</v>
      </c>
      <c r="D446" s="22">
        <v>6.8</v>
      </c>
    </row>
    <row r="447" spans="1:4" x14ac:dyDescent="0.3">
      <c r="A447" s="22">
        <v>128</v>
      </c>
      <c r="B447" s="22">
        <v>12</v>
      </c>
      <c r="C447" s="22">
        <v>4500</v>
      </c>
      <c r="D447" s="22">
        <v>6.4</v>
      </c>
    </row>
    <row r="448" spans="1:4" x14ac:dyDescent="0.3">
      <c r="A448" s="22">
        <v>128</v>
      </c>
      <c r="B448" s="22">
        <v>50</v>
      </c>
      <c r="C448" s="22">
        <v>4500</v>
      </c>
      <c r="D448" s="22">
        <v>6</v>
      </c>
    </row>
    <row r="449" spans="1:4" x14ac:dyDescent="0.3">
      <c r="A449" s="22">
        <v>256</v>
      </c>
      <c r="B449" s="22">
        <v>50</v>
      </c>
      <c r="C449" s="22">
        <v>4000</v>
      </c>
      <c r="D449" s="22">
        <v>7</v>
      </c>
    </row>
    <row r="450" spans="1:4" x14ac:dyDescent="0.3">
      <c r="A450" s="22">
        <v>1024</v>
      </c>
      <c r="B450" s="22">
        <v>12</v>
      </c>
      <c r="C450" s="22">
        <v>5000</v>
      </c>
      <c r="D450" s="22">
        <v>6.6</v>
      </c>
    </row>
    <row r="451" spans="1:4" x14ac:dyDescent="0.3">
      <c r="A451" s="22">
        <v>1024</v>
      </c>
      <c r="B451" s="22">
        <v>48</v>
      </c>
      <c r="C451" s="22">
        <v>6000</v>
      </c>
      <c r="D451" s="22">
        <v>7.1</v>
      </c>
    </row>
    <row r="452" spans="1:4" x14ac:dyDescent="0.3">
      <c r="A452" s="22">
        <v>512</v>
      </c>
      <c r="B452" s="22">
        <v>108</v>
      </c>
      <c r="C452" s="22">
        <v>6000</v>
      </c>
      <c r="D452" s="22">
        <v>6</v>
      </c>
    </row>
    <row r="453" spans="1:4" x14ac:dyDescent="0.3">
      <c r="A453" s="22">
        <v>64</v>
      </c>
      <c r="B453" s="22">
        <v>12</v>
      </c>
      <c r="C453" s="22">
        <v>5500</v>
      </c>
      <c r="D453" s="22">
        <v>5.9</v>
      </c>
    </row>
    <row r="454" spans="1:4" x14ac:dyDescent="0.3">
      <c r="A454" s="22">
        <v>128</v>
      </c>
      <c r="B454" s="22">
        <v>12</v>
      </c>
      <c r="C454" s="22">
        <v>6000</v>
      </c>
      <c r="D454" s="22">
        <v>6.5</v>
      </c>
    </row>
    <row r="455" spans="1:4" x14ac:dyDescent="0.3">
      <c r="A455" s="22">
        <v>512</v>
      </c>
      <c r="B455" s="22">
        <v>50</v>
      </c>
      <c r="C455" s="22">
        <v>4000</v>
      </c>
      <c r="D455" s="22">
        <v>5.6</v>
      </c>
    </row>
    <row r="456" spans="1:4" x14ac:dyDescent="0.3">
      <c r="A456" s="22">
        <v>64</v>
      </c>
      <c r="B456" s="22">
        <v>200</v>
      </c>
      <c r="C456" s="22">
        <v>6000</v>
      </c>
      <c r="D456" s="22">
        <v>6.2</v>
      </c>
    </row>
    <row r="457" spans="1:4" x14ac:dyDescent="0.3">
      <c r="A457" s="22">
        <v>256</v>
      </c>
      <c r="B457" s="22">
        <v>50</v>
      </c>
      <c r="C457" s="22">
        <v>6000</v>
      </c>
      <c r="D457" s="22">
        <v>6.6</v>
      </c>
    </row>
    <row r="458" spans="1:4" x14ac:dyDescent="0.3">
      <c r="A458" s="22">
        <v>1024</v>
      </c>
      <c r="B458" s="22">
        <v>12</v>
      </c>
      <c r="C458" s="22">
        <v>4500</v>
      </c>
      <c r="D458" s="22">
        <v>6.2</v>
      </c>
    </row>
    <row r="459" spans="1:4" x14ac:dyDescent="0.3">
      <c r="A459" s="22">
        <v>512</v>
      </c>
      <c r="B459" s="22">
        <v>200</v>
      </c>
      <c r="C459" s="22">
        <v>5500</v>
      </c>
      <c r="D459" s="22">
        <v>6.7</v>
      </c>
    </row>
    <row r="460" spans="1:4" x14ac:dyDescent="0.3">
      <c r="A460" s="22">
        <v>1024</v>
      </c>
      <c r="B460" s="22">
        <v>12</v>
      </c>
      <c r="C460" s="22">
        <v>4500</v>
      </c>
      <c r="D460" s="22">
        <v>5.9</v>
      </c>
    </row>
    <row r="461" spans="1:4" x14ac:dyDescent="0.3">
      <c r="A461" s="22">
        <v>64</v>
      </c>
      <c r="B461" s="22">
        <v>50</v>
      </c>
      <c r="C461" s="22">
        <v>6000</v>
      </c>
      <c r="D461" s="22">
        <v>7.1</v>
      </c>
    </row>
    <row r="462" spans="1:4" x14ac:dyDescent="0.3">
      <c r="A462" s="22">
        <v>64</v>
      </c>
      <c r="B462" s="22">
        <v>12</v>
      </c>
      <c r="C462" s="22">
        <v>4500</v>
      </c>
      <c r="D462" s="22">
        <v>5.6</v>
      </c>
    </row>
    <row r="463" spans="1:4" x14ac:dyDescent="0.3">
      <c r="A463" s="22">
        <v>128</v>
      </c>
      <c r="B463" s="22">
        <v>12</v>
      </c>
      <c r="C463" s="22">
        <v>4000</v>
      </c>
      <c r="D463" s="22">
        <v>7.2</v>
      </c>
    </row>
    <row r="464" spans="1:4" x14ac:dyDescent="0.3">
      <c r="A464" s="22">
        <v>128</v>
      </c>
      <c r="B464" s="22">
        <v>200</v>
      </c>
      <c r="C464" s="22">
        <v>6000</v>
      </c>
      <c r="D464" s="22">
        <v>6.4</v>
      </c>
    </row>
    <row r="465" spans="1:4" x14ac:dyDescent="0.3">
      <c r="A465" s="22">
        <v>1024</v>
      </c>
      <c r="B465" s="22">
        <v>48</v>
      </c>
      <c r="C465" s="22">
        <v>5500</v>
      </c>
      <c r="D465" s="22">
        <v>6.5</v>
      </c>
    </row>
    <row r="466" spans="1:4" x14ac:dyDescent="0.3">
      <c r="A466" s="22">
        <v>512</v>
      </c>
      <c r="B466" s="22">
        <v>48</v>
      </c>
      <c r="C466" s="22">
        <v>4500</v>
      </c>
      <c r="D466" s="22">
        <v>6.5</v>
      </c>
    </row>
    <row r="467" spans="1:4" x14ac:dyDescent="0.3">
      <c r="A467" s="22">
        <v>128</v>
      </c>
      <c r="B467" s="22">
        <v>50</v>
      </c>
      <c r="C467" s="22">
        <v>6000</v>
      </c>
      <c r="D467" s="22">
        <v>7.1</v>
      </c>
    </row>
    <row r="468" spans="1:4" x14ac:dyDescent="0.3">
      <c r="A468" s="22">
        <v>512</v>
      </c>
      <c r="B468" s="22">
        <v>12</v>
      </c>
      <c r="C468" s="22">
        <v>4500</v>
      </c>
      <c r="D468" s="22">
        <v>5.8</v>
      </c>
    </row>
    <row r="469" spans="1:4" x14ac:dyDescent="0.3">
      <c r="A469" s="22">
        <v>64</v>
      </c>
      <c r="B469" s="22">
        <v>48</v>
      </c>
      <c r="C469" s="22">
        <v>5000</v>
      </c>
      <c r="D469" s="22">
        <v>6.9</v>
      </c>
    </row>
    <row r="470" spans="1:4" x14ac:dyDescent="0.3">
      <c r="A470" s="22">
        <v>512</v>
      </c>
      <c r="B470" s="22">
        <v>64</v>
      </c>
      <c r="C470" s="22">
        <v>4500</v>
      </c>
      <c r="D470" s="22">
        <v>6.7</v>
      </c>
    </row>
    <row r="471" spans="1:4" x14ac:dyDescent="0.3">
      <c r="A471" s="22">
        <v>64</v>
      </c>
      <c r="B471" s="22">
        <v>12</v>
      </c>
      <c r="C471" s="22">
        <v>4500</v>
      </c>
      <c r="D471" s="22">
        <v>6.5</v>
      </c>
    </row>
    <row r="472" spans="1:4" x14ac:dyDescent="0.3">
      <c r="A472" s="22">
        <v>64</v>
      </c>
      <c r="B472" s="22">
        <v>50</v>
      </c>
      <c r="C472" s="22">
        <v>5000</v>
      </c>
      <c r="D472" s="22">
        <v>6.7</v>
      </c>
    </row>
    <row r="473" spans="1:4" x14ac:dyDescent="0.3">
      <c r="A473" s="22">
        <v>1024</v>
      </c>
      <c r="B473" s="22">
        <v>64</v>
      </c>
      <c r="C473" s="22">
        <v>4000</v>
      </c>
      <c r="D473" s="22">
        <v>5.5</v>
      </c>
    </row>
    <row r="474" spans="1:4" x14ac:dyDescent="0.3">
      <c r="A474" s="22">
        <v>1024</v>
      </c>
      <c r="B474" s="22">
        <v>64</v>
      </c>
      <c r="C474" s="22">
        <v>4500</v>
      </c>
      <c r="D474" s="22">
        <v>6.7</v>
      </c>
    </row>
    <row r="475" spans="1:4" x14ac:dyDescent="0.3">
      <c r="A475" s="22">
        <v>128</v>
      </c>
      <c r="B475" s="22">
        <v>108</v>
      </c>
      <c r="C475" s="22">
        <v>6000</v>
      </c>
      <c r="D475" s="22">
        <v>5.8</v>
      </c>
    </row>
    <row r="476" spans="1:4" x14ac:dyDescent="0.3">
      <c r="A476" s="22">
        <v>512</v>
      </c>
      <c r="B476" s="22">
        <v>12</v>
      </c>
      <c r="C476" s="22">
        <v>5000</v>
      </c>
      <c r="D476" s="22">
        <v>5.9</v>
      </c>
    </row>
    <row r="477" spans="1:4" x14ac:dyDescent="0.3">
      <c r="A477" s="22">
        <v>256</v>
      </c>
      <c r="B477" s="22">
        <v>50</v>
      </c>
      <c r="C477" s="22">
        <v>4000</v>
      </c>
      <c r="D477" s="22">
        <v>6.5</v>
      </c>
    </row>
    <row r="478" spans="1:4" x14ac:dyDescent="0.3">
      <c r="A478" s="22">
        <v>256</v>
      </c>
      <c r="B478" s="22">
        <v>48</v>
      </c>
      <c r="C478" s="22">
        <v>4000</v>
      </c>
      <c r="D478" s="22">
        <v>7.1</v>
      </c>
    </row>
    <row r="479" spans="1:4" x14ac:dyDescent="0.3">
      <c r="A479" s="22">
        <v>128</v>
      </c>
      <c r="B479" s="22">
        <v>50</v>
      </c>
      <c r="C479" s="22">
        <v>5500</v>
      </c>
      <c r="D479" s="22">
        <v>6.4</v>
      </c>
    </row>
    <row r="480" spans="1:4" x14ac:dyDescent="0.3">
      <c r="A480" s="22">
        <v>1024</v>
      </c>
      <c r="B480" s="22">
        <v>200</v>
      </c>
      <c r="C480" s="22">
        <v>4000</v>
      </c>
      <c r="D480" s="22">
        <v>5.9</v>
      </c>
    </row>
    <row r="481" spans="1:4" x14ac:dyDescent="0.3">
      <c r="A481" s="22">
        <v>512</v>
      </c>
      <c r="B481" s="22">
        <v>50</v>
      </c>
      <c r="C481" s="22">
        <v>5500</v>
      </c>
      <c r="D481" s="22">
        <v>6.5</v>
      </c>
    </row>
    <row r="482" spans="1:4" x14ac:dyDescent="0.3">
      <c r="A482" s="22">
        <v>512</v>
      </c>
      <c r="B482" s="22">
        <v>108</v>
      </c>
      <c r="C482" s="22">
        <v>5500</v>
      </c>
      <c r="D482" s="22">
        <v>7</v>
      </c>
    </row>
    <row r="483" spans="1:4" x14ac:dyDescent="0.3">
      <c r="A483" s="22">
        <v>64</v>
      </c>
      <c r="B483" s="22">
        <v>12</v>
      </c>
      <c r="C483" s="22">
        <v>5500</v>
      </c>
      <c r="D483" s="22">
        <v>6.3</v>
      </c>
    </row>
    <row r="484" spans="1:4" x14ac:dyDescent="0.3">
      <c r="A484" s="22">
        <v>128</v>
      </c>
      <c r="B484" s="22">
        <v>200</v>
      </c>
      <c r="C484" s="22">
        <v>4500</v>
      </c>
      <c r="D484" s="22">
        <v>5.7</v>
      </c>
    </row>
    <row r="485" spans="1:4" x14ac:dyDescent="0.3">
      <c r="A485" s="22">
        <v>1024</v>
      </c>
      <c r="B485" s="22">
        <v>50</v>
      </c>
      <c r="C485" s="22">
        <v>5000</v>
      </c>
      <c r="D485" s="22">
        <v>6.4</v>
      </c>
    </row>
    <row r="486" spans="1:4" x14ac:dyDescent="0.3">
      <c r="A486" s="22">
        <v>512</v>
      </c>
      <c r="B486" s="22">
        <v>64</v>
      </c>
      <c r="C486" s="22">
        <v>5000</v>
      </c>
      <c r="D486" s="22">
        <v>7</v>
      </c>
    </row>
    <row r="487" spans="1:4" x14ac:dyDescent="0.3">
      <c r="A487" s="22">
        <v>64</v>
      </c>
      <c r="B487" s="22">
        <v>200</v>
      </c>
      <c r="C487" s="22">
        <v>5000</v>
      </c>
      <c r="D487" s="22">
        <v>7.1</v>
      </c>
    </row>
    <row r="488" spans="1:4" x14ac:dyDescent="0.3">
      <c r="A488" s="22">
        <v>64</v>
      </c>
      <c r="B488" s="22">
        <v>48</v>
      </c>
      <c r="C488" s="22">
        <v>4000</v>
      </c>
      <c r="D488" s="22">
        <v>6.2</v>
      </c>
    </row>
    <row r="489" spans="1:4" x14ac:dyDescent="0.3">
      <c r="A489" s="22">
        <v>128</v>
      </c>
      <c r="B489" s="22">
        <v>200</v>
      </c>
      <c r="C489" s="22">
        <v>6000</v>
      </c>
      <c r="D489" s="22">
        <v>5.7</v>
      </c>
    </row>
    <row r="490" spans="1:4" x14ac:dyDescent="0.3">
      <c r="A490" s="22">
        <v>256</v>
      </c>
      <c r="B490" s="22">
        <v>200</v>
      </c>
      <c r="C490" s="22">
        <v>5000</v>
      </c>
      <c r="D490" s="22">
        <v>6.2</v>
      </c>
    </row>
    <row r="491" spans="1:4" x14ac:dyDescent="0.3">
      <c r="A491" s="22">
        <v>512</v>
      </c>
      <c r="B491" s="22">
        <v>108</v>
      </c>
      <c r="C491" s="22">
        <v>5000</v>
      </c>
      <c r="D491" s="22">
        <v>7.2</v>
      </c>
    </row>
    <row r="492" spans="1:4" x14ac:dyDescent="0.3">
      <c r="A492" s="22">
        <v>64</v>
      </c>
      <c r="B492" s="22">
        <v>48</v>
      </c>
      <c r="C492" s="22">
        <v>6000</v>
      </c>
      <c r="D492" s="22">
        <v>6.3</v>
      </c>
    </row>
    <row r="493" spans="1:4" x14ac:dyDescent="0.3">
      <c r="A493" s="22">
        <v>128</v>
      </c>
      <c r="B493" s="22">
        <v>50</v>
      </c>
      <c r="C493" s="22">
        <v>4000</v>
      </c>
      <c r="D493" s="22">
        <v>5.5</v>
      </c>
    </row>
    <row r="494" spans="1:4" x14ac:dyDescent="0.3">
      <c r="A494" s="22">
        <v>64</v>
      </c>
      <c r="B494" s="22">
        <v>12</v>
      </c>
      <c r="C494" s="22">
        <v>6000</v>
      </c>
      <c r="D494" s="22">
        <v>6.9</v>
      </c>
    </row>
    <row r="495" spans="1:4" x14ac:dyDescent="0.3">
      <c r="A495" s="22">
        <v>512</v>
      </c>
      <c r="B495" s="22">
        <v>108</v>
      </c>
      <c r="C495" s="22">
        <v>4000</v>
      </c>
      <c r="D495" s="22">
        <v>6.3</v>
      </c>
    </row>
    <row r="496" spans="1:4" x14ac:dyDescent="0.3">
      <c r="A496" s="22">
        <v>64</v>
      </c>
      <c r="B496" s="22">
        <v>48</v>
      </c>
      <c r="C496" s="22">
        <v>4000</v>
      </c>
      <c r="D496" s="22">
        <v>7.1</v>
      </c>
    </row>
    <row r="497" spans="1:4" x14ac:dyDescent="0.3">
      <c r="A497" s="22">
        <v>256</v>
      </c>
      <c r="B497" s="22">
        <v>64</v>
      </c>
      <c r="C497" s="22">
        <v>5000</v>
      </c>
      <c r="D497" s="22">
        <v>5.9</v>
      </c>
    </row>
    <row r="498" spans="1:4" x14ac:dyDescent="0.3">
      <c r="A498" s="22">
        <v>64</v>
      </c>
      <c r="B498" s="22">
        <v>64</v>
      </c>
      <c r="C498" s="22">
        <v>5500</v>
      </c>
      <c r="D498" s="22">
        <v>6.9</v>
      </c>
    </row>
    <row r="499" spans="1:4" x14ac:dyDescent="0.3">
      <c r="A499" s="22">
        <v>512</v>
      </c>
      <c r="B499" s="22">
        <v>108</v>
      </c>
      <c r="C499" s="22">
        <v>4500</v>
      </c>
      <c r="D499" s="22">
        <v>6.3</v>
      </c>
    </row>
    <row r="500" spans="1:4" x14ac:dyDescent="0.3">
      <c r="A500" s="22">
        <v>1024</v>
      </c>
      <c r="B500" s="22">
        <v>108</v>
      </c>
      <c r="C500" s="22">
        <v>5000</v>
      </c>
      <c r="D500" s="22">
        <v>6.4</v>
      </c>
    </row>
    <row r="501" spans="1:4" x14ac:dyDescent="0.3">
      <c r="A501" s="22">
        <v>512</v>
      </c>
      <c r="B501" s="22">
        <v>200</v>
      </c>
      <c r="C501" s="22">
        <v>5500</v>
      </c>
      <c r="D501" s="22">
        <v>6.3</v>
      </c>
    </row>
    <row r="502" spans="1:4" x14ac:dyDescent="0.3">
      <c r="A502" s="22">
        <v>512</v>
      </c>
      <c r="B502" s="22">
        <v>108</v>
      </c>
      <c r="C502" s="22">
        <v>4000</v>
      </c>
      <c r="D502" s="22">
        <v>6</v>
      </c>
    </row>
    <row r="503" spans="1:4" x14ac:dyDescent="0.3">
      <c r="A503" s="22">
        <v>512</v>
      </c>
      <c r="B503" s="22">
        <v>108</v>
      </c>
      <c r="C503" s="22">
        <v>4500</v>
      </c>
      <c r="D503" s="22">
        <v>5.6</v>
      </c>
    </row>
    <row r="504" spans="1:4" x14ac:dyDescent="0.3">
      <c r="A504" s="22">
        <v>128</v>
      </c>
      <c r="B504" s="22">
        <v>12</v>
      </c>
      <c r="C504" s="22">
        <v>4500</v>
      </c>
      <c r="D504" s="22">
        <v>6</v>
      </c>
    </row>
    <row r="505" spans="1:4" x14ac:dyDescent="0.3">
      <c r="A505" s="22">
        <v>64</v>
      </c>
      <c r="B505" s="22">
        <v>12</v>
      </c>
      <c r="C505" s="22">
        <v>4500</v>
      </c>
      <c r="D505" s="22">
        <v>6.3</v>
      </c>
    </row>
    <row r="506" spans="1:4" x14ac:dyDescent="0.3">
      <c r="A506" s="22">
        <v>512</v>
      </c>
      <c r="B506" s="22">
        <v>50</v>
      </c>
      <c r="C506" s="22">
        <v>5500</v>
      </c>
      <c r="D506" s="22">
        <v>6.2</v>
      </c>
    </row>
    <row r="507" spans="1:4" x14ac:dyDescent="0.3">
      <c r="A507" s="22">
        <v>512</v>
      </c>
      <c r="B507" s="22">
        <v>48</v>
      </c>
      <c r="C507" s="22">
        <v>4500</v>
      </c>
      <c r="D507" s="22">
        <v>6.8</v>
      </c>
    </row>
    <row r="508" spans="1:4" x14ac:dyDescent="0.3">
      <c r="A508" s="22">
        <v>64</v>
      </c>
      <c r="B508" s="22">
        <v>48</v>
      </c>
      <c r="C508" s="22">
        <v>6000</v>
      </c>
      <c r="D508" s="22">
        <v>5.6</v>
      </c>
    </row>
    <row r="509" spans="1:4" x14ac:dyDescent="0.3">
      <c r="A509" s="22">
        <v>256</v>
      </c>
      <c r="B509" s="22">
        <v>108</v>
      </c>
      <c r="C509" s="22">
        <v>5500</v>
      </c>
      <c r="D509" s="22">
        <v>6.7</v>
      </c>
    </row>
    <row r="510" spans="1:4" x14ac:dyDescent="0.3">
      <c r="A510" s="22">
        <v>128</v>
      </c>
      <c r="B510" s="22">
        <v>50</v>
      </c>
      <c r="C510" s="22">
        <v>5000</v>
      </c>
      <c r="D510" s="22">
        <v>6.2</v>
      </c>
    </row>
    <row r="511" spans="1:4" x14ac:dyDescent="0.3">
      <c r="A511" s="22">
        <v>128</v>
      </c>
      <c r="B511" s="22">
        <v>64</v>
      </c>
      <c r="C511" s="22">
        <v>4000</v>
      </c>
      <c r="D511" s="22">
        <v>6.2</v>
      </c>
    </row>
    <row r="512" spans="1:4" x14ac:dyDescent="0.3">
      <c r="A512" s="22">
        <v>256</v>
      </c>
      <c r="B512" s="22">
        <v>48</v>
      </c>
      <c r="C512" s="22">
        <v>4000</v>
      </c>
      <c r="D512" s="22">
        <v>7</v>
      </c>
    </row>
    <row r="513" spans="1:4" x14ac:dyDescent="0.3">
      <c r="A513" s="22">
        <v>128</v>
      </c>
      <c r="B513" s="22">
        <v>50</v>
      </c>
      <c r="C513" s="22">
        <v>6000</v>
      </c>
      <c r="D513" s="22">
        <v>6.8</v>
      </c>
    </row>
    <row r="514" spans="1:4" x14ac:dyDescent="0.3">
      <c r="A514" s="22">
        <v>512</v>
      </c>
      <c r="B514" s="22">
        <v>48</v>
      </c>
      <c r="C514" s="22">
        <v>4500</v>
      </c>
      <c r="D514" s="22">
        <v>6</v>
      </c>
    </row>
    <row r="515" spans="1:4" x14ac:dyDescent="0.3">
      <c r="A515" s="22">
        <v>1024</v>
      </c>
      <c r="B515" s="22">
        <v>48</v>
      </c>
      <c r="C515" s="22">
        <v>4000</v>
      </c>
      <c r="D515" s="22">
        <v>6.7</v>
      </c>
    </row>
    <row r="516" spans="1:4" x14ac:dyDescent="0.3">
      <c r="A516" s="22">
        <v>1024</v>
      </c>
      <c r="B516" s="22">
        <v>64</v>
      </c>
      <c r="C516" s="22">
        <v>4500</v>
      </c>
      <c r="D516" s="22">
        <v>6.9</v>
      </c>
    </row>
    <row r="517" spans="1:4" x14ac:dyDescent="0.3">
      <c r="A517" s="22">
        <v>256</v>
      </c>
      <c r="B517" s="22">
        <v>64</v>
      </c>
      <c r="C517" s="22">
        <v>4000</v>
      </c>
      <c r="D517" s="22">
        <v>6.7</v>
      </c>
    </row>
    <row r="518" spans="1:4" x14ac:dyDescent="0.3">
      <c r="A518" s="22">
        <v>1024</v>
      </c>
      <c r="B518" s="22">
        <v>200</v>
      </c>
      <c r="C518" s="22">
        <v>5500</v>
      </c>
      <c r="D518" s="22">
        <v>5.8</v>
      </c>
    </row>
    <row r="519" spans="1:4" x14ac:dyDescent="0.3">
      <c r="A519" s="22">
        <v>128</v>
      </c>
      <c r="B519" s="22">
        <v>200</v>
      </c>
      <c r="C519" s="22">
        <v>5000</v>
      </c>
      <c r="D519" s="22">
        <v>6.1</v>
      </c>
    </row>
    <row r="520" spans="1:4" x14ac:dyDescent="0.3">
      <c r="A520" s="22">
        <v>64</v>
      </c>
      <c r="B520" s="22">
        <v>108</v>
      </c>
      <c r="C520" s="22">
        <v>4500</v>
      </c>
      <c r="D520" s="22">
        <v>6.4</v>
      </c>
    </row>
    <row r="521" spans="1:4" x14ac:dyDescent="0.3">
      <c r="A521" s="22">
        <v>1024</v>
      </c>
      <c r="B521" s="22">
        <v>108</v>
      </c>
      <c r="C521" s="22">
        <v>4000</v>
      </c>
      <c r="D521" s="22">
        <v>6.8</v>
      </c>
    </row>
    <row r="522" spans="1:4" x14ac:dyDescent="0.3">
      <c r="A522" s="22">
        <v>64</v>
      </c>
      <c r="B522" s="22">
        <v>64</v>
      </c>
      <c r="C522" s="22">
        <v>5500</v>
      </c>
      <c r="D522" s="22">
        <v>6.9</v>
      </c>
    </row>
    <row r="523" spans="1:4" x14ac:dyDescent="0.3">
      <c r="A523" s="22">
        <v>512</v>
      </c>
      <c r="B523" s="22">
        <v>48</v>
      </c>
      <c r="C523" s="22">
        <v>4500</v>
      </c>
      <c r="D523" s="22">
        <v>6.3</v>
      </c>
    </row>
    <row r="524" spans="1:4" x14ac:dyDescent="0.3">
      <c r="A524" s="22">
        <v>512</v>
      </c>
      <c r="B524" s="22">
        <v>50</v>
      </c>
      <c r="C524" s="22">
        <v>4000</v>
      </c>
      <c r="D524" s="22">
        <v>6.1</v>
      </c>
    </row>
    <row r="525" spans="1:4" x14ac:dyDescent="0.3">
      <c r="A525" s="22">
        <v>128</v>
      </c>
      <c r="B525" s="22">
        <v>108</v>
      </c>
      <c r="C525" s="22">
        <v>6000</v>
      </c>
      <c r="D525" s="22">
        <v>6.6</v>
      </c>
    </row>
    <row r="526" spans="1:4" x14ac:dyDescent="0.3">
      <c r="A526" s="22">
        <v>512</v>
      </c>
      <c r="B526" s="22">
        <v>12</v>
      </c>
      <c r="C526" s="22">
        <v>4000</v>
      </c>
      <c r="D526" s="22">
        <v>6.1</v>
      </c>
    </row>
    <row r="527" spans="1:4" x14ac:dyDescent="0.3">
      <c r="A527" s="22">
        <v>64</v>
      </c>
      <c r="B527" s="22">
        <v>64</v>
      </c>
      <c r="C527" s="22">
        <v>5000</v>
      </c>
      <c r="D527" s="22">
        <v>7</v>
      </c>
    </row>
    <row r="528" spans="1:4" x14ac:dyDescent="0.3">
      <c r="A528" s="22">
        <v>256</v>
      </c>
      <c r="B528" s="22">
        <v>200</v>
      </c>
      <c r="C528" s="22">
        <v>6000</v>
      </c>
      <c r="D528" s="22">
        <v>7</v>
      </c>
    </row>
    <row r="529" spans="1:4" x14ac:dyDescent="0.3">
      <c r="A529" s="22">
        <v>512</v>
      </c>
      <c r="B529" s="22">
        <v>12</v>
      </c>
      <c r="C529" s="22">
        <v>4500</v>
      </c>
      <c r="D529" s="22">
        <v>7.2</v>
      </c>
    </row>
    <row r="530" spans="1:4" x14ac:dyDescent="0.3">
      <c r="A530" s="22">
        <v>256</v>
      </c>
      <c r="B530" s="22">
        <v>50</v>
      </c>
      <c r="C530" s="22">
        <v>6000</v>
      </c>
      <c r="D530" s="22">
        <v>6</v>
      </c>
    </row>
    <row r="531" spans="1:4" x14ac:dyDescent="0.3">
      <c r="A531" s="22">
        <v>64</v>
      </c>
      <c r="B531" s="22">
        <v>48</v>
      </c>
      <c r="C531" s="22">
        <v>4000</v>
      </c>
      <c r="D531" s="22">
        <v>7.2</v>
      </c>
    </row>
    <row r="532" spans="1:4" x14ac:dyDescent="0.3">
      <c r="A532" s="22">
        <v>64</v>
      </c>
      <c r="B532" s="22">
        <v>48</v>
      </c>
      <c r="C532" s="22">
        <v>4000</v>
      </c>
      <c r="D532" s="22">
        <v>6.4</v>
      </c>
    </row>
    <row r="533" spans="1:4" x14ac:dyDescent="0.3">
      <c r="A533" s="22">
        <v>128</v>
      </c>
      <c r="B533" s="22">
        <v>12</v>
      </c>
      <c r="C533" s="22">
        <v>4500</v>
      </c>
      <c r="D533" s="22">
        <v>6.6</v>
      </c>
    </row>
    <row r="534" spans="1:4" x14ac:dyDescent="0.3">
      <c r="A534" s="22">
        <v>512</v>
      </c>
      <c r="B534" s="22">
        <v>50</v>
      </c>
      <c r="C534" s="22">
        <v>4500</v>
      </c>
      <c r="D534" s="22">
        <v>6.5</v>
      </c>
    </row>
    <row r="535" spans="1:4" x14ac:dyDescent="0.3">
      <c r="A535" s="22">
        <v>1024</v>
      </c>
      <c r="B535" s="22">
        <v>200</v>
      </c>
      <c r="C535" s="22">
        <v>5500</v>
      </c>
      <c r="D535" s="22">
        <v>6</v>
      </c>
    </row>
    <row r="536" spans="1:4" x14ac:dyDescent="0.3">
      <c r="A536" s="22">
        <v>64</v>
      </c>
      <c r="B536" s="22">
        <v>200</v>
      </c>
      <c r="C536" s="22">
        <v>6000</v>
      </c>
      <c r="D536" s="22">
        <v>5.7</v>
      </c>
    </row>
    <row r="537" spans="1:4" x14ac:dyDescent="0.3">
      <c r="A537" s="22">
        <v>128</v>
      </c>
      <c r="B537" s="22">
        <v>200</v>
      </c>
      <c r="C537" s="22">
        <v>4000</v>
      </c>
      <c r="D537" s="22">
        <v>6.6</v>
      </c>
    </row>
    <row r="538" spans="1:4" x14ac:dyDescent="0.3">
      <c r="A538" s="22">
        <v>1024</v>
      </c>
      <c r="B538" s="22">
        <v>48</v>
      </c>
      <c r="C538" s="22">
        <v>5500</v>
      </c>
      <c r="D538" s="22">
        <v>6</v>
      </c>
    </row>
    <row r="539" spans="1:4" x14ac:dyDescent="0.3">
      <c r="A539" s="22">
        <v>512</v>
      </c>
      <c r="B539" s="22">
        <v>48</v>
      </c>
      <c r="C539" s="22">
        <v>5500</v>
      </c>
      <c r="D539" s="22">
        <v>5.9</v>
      </c>
    </row>
    <row r="540" spans="1:4" x14ac:dyDescent="0.3">
      <c r="A540" s="22">
        <v>512</v>
      </c>
      <c r="B540" s="22">
        <v>64</v>
      </c>
      <c r="C540" s="22">
        <v>5000</v>
      </c>
      <c r="D540" s="22">
        <v>7.1</v>
      </c>
    </row>
    <row r="541" spans="1:4" x14ac:dyDescent="0.3">
      <c r="A541" s="22">
        <v>1024</v>
      </c>
      <c r="B541" s="22">
        <v>64</v>
      </c>
      <c r="C541" s="22">
        <v>6000</v>
      </c>
      <c r="D541" s="22">
        <v>5.7</v>
      </c>
    </row>
    <row r="542" spans="1:4" x14ac:dyDescent="0.3">
      <c r="A542" s="22">
        <v>64</v>
      </c>
      <c r="B542" s="22">
        <v>12</v>
      </c>
      <c r="C542" s="22">
        <v>6000</v>
      </c>
      <c r="D542" s="22">
        <v>6.1</v>
      </c>
    </row>
    <row r="543" spans="1:4" x14ac:dyDescent="0.3">
      <c r="A543" s="22">
        <v>128</v>
      </c>
      <c r="B543" s="22">
        <v>50</v>
      </c>
      <c r="C543" s="22">
        <v>5500</v>
      </c>
      <c r="D543" s="22">
        <v>5.9</v>
      </c>
    </row>
    <row r="544" spans="1:4" x14ac:dyDescent="0.3">
      <c r="A544" s="22">
        <v>1024</v>
      </c>
      <c r="B544" s="22">
        <v>50</v>
      </c>
      <c r="C544" s="22">
        <v>6000</v>
      </c>
      <c r="D544" s="22">
        <v>6.5</v>
      </c>
    </row>
    <row r="545" spans="1:4" x14ac:dyDescent="0.3">
      <c r="A545" s="22">
        <v>64</v>
      </c>
      <c r="B545" s="22">
        <v>48</v>
      </c>
      <c r="C545" s="22">
        <v>4000</v>
      </c>
      <c r="D545" s="22">
        <v>7.2</v>
      </c>
    </row>
    <row r="546" spans="1:4" x14ac:dyDescent="0.3">
      <c r="A546" s="22">
        <v>128</v>
      </c>
      <c r="B546" s="22">
        <v>50</v>
      </c>
      <c r="C546" s="22">
        <v>4000</v>
      </c>
      <c r="D546" s="22">
        <v>5.5</v>
      </c>
    </row>
    <row r="547" spans="1:4" x14ac:dyDescent="0.3">
      <c r="A547" s="22">
        <v>1024</v>
      </c>
      <c r="B547" s="22">
        <v>12</v>
      </c>
      <c r="C547" s="22">
        <v>5000</v>
      </c>
      <c r="D547" s="22">
        <v>6.7</v>
      </c>
    </row>
    <row r="548" spans="1:4" x14ac:dyDescent="0.3">
      <c r="A548" s="22">
        <v>256</v>
      </c>
      <c r="B548" s="22">
        <v>64</v>
      </c>
      <c r="C548" s="22">
        <v>6000</v>
      </c>
      <c r="D548" s="22">
        <v>7.1</v>
      </c>
    </row>
    <row r="549" spans="1:4" x14ac:dyDescent="0.3">
      <c r="A549" s="22">
        <v>128</v>
      </c>
      <c r="B549" s="22">
        <v>12</v>
      </c>
      <c r="C549" s="22">
        <v>5500</v>
      </c>
      <c r="D549" s="22">
        <v>6.6</v>
      </c>
    </row>
    <row r="550" spans="1:4" x14ac:dyDescent="0.3">
      <c r="A550" s="22">
        <v>1024</v>
      </c>
      <c r="B550" s="22">
        <v>50</v>
      </c>
      <c r="C550" s="22">
        <v>5500</v>
      </c>
      <c r="D550" s="22">
        <v>6.5</v>
      </c>
    </row>
    <row r="551" spans="1:4" x14ac:dyDescent="0.3">
      <c r="A551" s="22">
        <v>512</v>
      </c>
      <c r="B551" s="22">
        <v>108</v>
      </c>
      <c r="C551" s="22">
        <v>5000</v>
      </c>
      <c r="D551" s="22">
        <v>6.2</v>
      </c>
    </row>
    <row r="552" spans="1:4" x14ac:dyDescent="0.3">
      <c r="A552" s="22">
        <v>1024</v>
      </c>
      <c r="B552" s="22">
        <v>64</v>
      </c>
      <c r="C552" s="22">
        <v>4000</v>
      </c>
      <c r="D552" s="22">
        <v>5.8</v>
      </c>
    </row>
    <row r="553" spans="1:4" x14ac:dyDescent="0.3">
      <c r="A553" s="22">
        <v>1024</v>
      </c>
      <c r="B553" s="22">
        <v>12</v>
      </c>
      <c r="C553" s="22">
        <v>4500</v>
      </c>
      <c r="D553" s="22">
        <v>6.7</v>
      </c>
    </row>
    <row r="554" spans="1:4" x14ac:dyDescent="0.3">
      <c r="A554" s="22">
        <v>128</v>
      </c>
      <c r="B554" s="22">
        <v>48</v>
      </c>
      <c r="C554" s="22">
        <v>5500</v>
      </c>
      <c r="D554" s="22">
        <v>6.9</v>
      </c>
    </row>
    <row r="555" spans="1:4" x14ac:dyDescent="0.3">
      <c r="A555" s="22">
        <v>128</v>
      </c>
      <c r="B555" s="22">
        <v>48</v>
      </c>
      <c r="C555" s="22">
        <v>5000</v>
      </c>
      <c r="D555" s="22">
        <v>7</v>
      </c>
    </row>
    <row r="556" spans="1:4" x14ac:dyDescent="0.3">
      <c r="A556" s="22">
        <v>64</v>
      </c>
      <c r="B556" s="22">
        <v>48</v>
      </c>
      <c r="C556" s="22">
        <v>5000</v>
      </c>
      <c r="D556" s="22">
        <v>7</v>
      </c>
    </row>
    <row r="557" spans="1:4" x14ac:dyDescent="0.3">
      <c r="A557" s="22">
        <v>128</v>
      </c>
      <c r="B557" s="22">
        <v>50</v>
      </c>
      <c r="C557" s="22">
        <v>4000</v>
      </c>
      <c r="D557" s="22">
        <v>6.2</v>
      </c>
    </row>
    <row r="558" spans="1:4" x14ac:dyDescent="0.3">
      <c r="A558" s="22">
        <v>1024</v>
      </c>
      <c r="B558" s="22">
        <v>108</v>
      </c>
      <c r="C558" s="22">
        <v>4000</v>
      </c>
      <c r="D558" s="22">
        <v>6.7</v>
      </c>
    </row>
    <row r="559" spans="1:4" x14ac:dyDescent="0.3">
      <c r="A559" s="22">
        <v>128</v>
      </c>
      <c r="B559" s="22">
        <v>200</v>
      </c>
      <c r="C559" s="22">
        <v>6000</v>
      </c>
      <c r="D559" s="22">
        <v>6</v>
      </c>
    </row>
    <row r="560" spans="1:4" x14ac:dyDescent="0.3">
      <c r="A560" s="22">
        <v>512</v>
      </c>
      <c r="B560" s="22">
        <v>64</v>
      </c>
      <c r="C560" s="22">
        <v>5000</v>
      </c>
      <c r="D560" s="22">
        <v>7</v>
      </c>
    </row>
    <row r="561" spans="1:4" x14ac:dyDescent="0.3">
      <c r="A561" s="22">
        <v>128</v>
      </c>
      <c r="B561" s="22">
        <v>12</v>
      </c>
      <c r="C561" s="22">
        <v>6000</v>
      </c>
      <c r="D561" s="22">
        <v>6.3</v>
      </c>
    </row>
    <row r="562" spans="1:4" x14ac:dyDescent="0.3">
      <c r="A562" s="22">
        <v>1024</v>
      </c>
      <c r="B562" s="22">
        <v>64</v>
      </c>
      <c r="C562" s="22">
        <v>4500</v>
      </c>
      <c r="D562" s="22">
        <v>5.9</v>
      </c>
    </row>
    <row r="563" spans="1:4" x14ac:dyDescent="0.3">
      <c r="A563" s="22">
        <v>128</v>
      </c>
      <c r="B563" s="22">
        <v>64</v>
      </c>
      <c r="C563" s="22">
        <v>6000</v>
      </c>
      <c r="D563" s="22">
        <v>5.9</v>
      </c>
    </row>
    <row r="564" spans="1:4" x14ac:dyDescent="0.3">
      <c r="A564" s="22">
        <v>128</v>
      </c>
      <c r="B564" s="22">
        <v>200</v>
      </c>
      <c r="C564" s="22">
        <v>5000</v>
      </c>
      <c r="D564" s="22">
        <v>7.2</v>
      </c>
    </row>
    <row r="565" spans="1:4" x14ac:dyDescent="0.3">
      <c r="A565" s="22">
        <v>64</v>
      </c>
      <c r="B565" s="22">
        <v>48</v>
      </c>
      <c r="C565" s="22">
        <v>4000</v>
      </c>
      <c r="D565" s="22">
        <v>5.7</v>
      </c>
    </row>
    <row r="566" spans="1:4" x14ac:dyDescent="0.3">
      <c r="A566" s="22">
        <v>256</v>
      </c>
      <c r="B566" s="22">
        <v>12</v>
      </c>
      <c r="C566" s="22">
        <v>5500</v>
      </c>
      <c r="D566" s="22">
        <v>5.9</v>
      </c>
    </row>
    <row r="567" spans="1:4" x14ac:dyDescent="0.3">
      <c r="A567" s="22">
        <v>256</v>
      </c>
      <c r="B567" s="22">
        <v>108</v>
      </c>
      <c r="C567" s="22">
        <v>4000</v>
      </c>
      <c r="D567" s="22">
        <v>6.7</v>
      </c>
    </row>
    <row r="568" spans="1:4" x14ac:dyDescent="0.3">
      <c r="A568" s="22">
        <v>1024</v>
      </c>
      <c r="B568" s="22">
        <v>200</v>
      </c>
      <c r="C568" s="22">
        <v>4000</v>
      </c>
      <c r="D568" s="22">
        <v>5.6</v>
      </c>
    </row>
    <row r="569" spans="1:4" x14ac:dyDescent="0.3">
      <c r="A569" s="22">
        <v>64</v>
      </c>
      <c r="B569" s="22">
        <v>108</v>
      </c>
      <c r="C569" s="22">
        <v>6000</v>
      </c>
      <c r="D569" s="22">
        <v>6.9</v>
      </c>
    </row>
    <row r="570" spans="1:4" x14ac:dyDescent="0.3">
      <c r="A570" s="22">
        <v>512</v>
      </c>
      <c r="B570" s="22">
        <v>108</v>
      </c>
      <c r="C570" s="22">
        <v>5000</v>
      </c>
      <c r="D570" s="22">
        <v>6.8</v>
      </c>
    </row>
    <row r="571" spans="1:4" x14ac:dyDescent="0.3">
      <c r="A571" s="22">
        <v>1024</v>
      </c>
      <c r="B571" s="22">
        <v>48</v>
      </c>
      <c r="C571" s="22">
        <v>5500</v>
      </c>
      <c r="D571" s="22">
        <v>7.1</v>
      </c>
    </row>
    <row r="572" spans="1:4" x14ac:dyDescent="0.3">
      <c r="A572" s="22">
        <v>64</v>
      </c>
      <c r="B572" s="22">
        <v>64</v>
      </c>
      <c r="C572" s="22">
        <v>6000</v>
      </c>
      <c r="D572" s="22">
        <v>6.2</v>
      </c>
    </row>
    <row r="573" spans="1:4" x14ac:dyDescent="0.3">
      <c r="A573" s="22">
        <v>1024</v>
      </c>
      <c r="B573" s="22">
        <v>200</v>
      </c>
      <c r="C573" s="22">
        <v>4000</v>
      </c>
      <c r="D573" s="22">
        <v>7.1</v>
      </c>
    </row>
    <row r="574" spans="1:4" x14ac:dyDescent="0.3">
      <c r="A574" s="22">
        <v>1024</v>
      </c>
      <c r="B574" s="22">
        <v>64</v>
      </c>
      <c r="C574" s="22">
        <v>4500</v>
      </c>
      <c r="D574" s="22">
        <v>6.7</v>
      </c>
    </row>
    <row r="575" spans="1:4" x14ac:dyDescent="0.3">
      <c r="A575" s="22">
        <v>512</v>
      </c>
      <c r="B575" s="22">
        <v>12</v>
      </c>
      <c r="C575" s="22">
        <v>5500</v>
      </c>
      <c r="D575" s="22">
        <v>7</v>
      </c>
    </row>
    <row r="576" spans="1:4" x14ac:dyDescent="0.3">
      <c r="A576" s="22">
        <v>256</v>
      </c>
      <c r="B576" s="22">
        <v>200</v>
      </c>
      <c r="C576" s="22">
        <v>4000</v>
      </c>
      <c r="D576" s="22">
        <v>5.5</v>
      </c>
    </row>
    <row r="577" spans="1:4" x14ac:dyDescent="0.3">
      <c r="A577" s="22">
        <v>1024</v>
      </c>
      <c r="B577" s="22">
        <v>108</v>
      </c>
      <c r="C577" s="22">
        <v>5500</v>
      </c>
      <c r="D577" s="22">
        <v>7</v>
      </c>
    </row>
    <row r="578" spans="1:4" x14ac:dyDescent="0.3">
      <c r="A578" s="22">
        <v>128</v>
      </c>
      <c r="B578" s="22">
        <v>64</v>
      </c>
      <c r="C578" s="22">
        <v>5000</v>
      </c>
      <c r="D578" s="22">
        <v>5.9</v>
      </c>
    </row>
    <row r="579" spans="1:4" x14ac:dyDescent="0.3">
      <c r="A579" s="22">
        <v>256</v>
      </c>
      <c r="B579" s="22">
        <v>12</v>
      </c>
      <c r="C579" s="22">
        <v>4500</v>
      </c>
      <c r="D579" s="22">
        <v>6.9</v>
      </c>
    </row>
    <row r="580" spans="1:4" x14ac:dyDescent="0.3">
      <c r="A580" s="22">
        <v>1024</v>
      </c>
      <c r="B580" s="22">
        <v>12</v>
      </c>
      <c r="C580" s="22">
        <v>4000</v>
      </c>
      <c r="D580" s="22">
        <v>6.2</v>
      </c>
    </row>
    <row r="581" spans="1:4" x14ac:dyDescent="0.3">
      <c r="A581" s="22">
        <v>128</v>
      </c>
      <c r="B581" s="22">
        <v>64</v>
      </c>
      <c r="C581" s="22">
        <v>6000</v>
      </c>
      <c r="D581" s="22">
        <v>6.8</v>
      </c>
    </row>
    <row r="582" spans="1:4" x14ac:dyDescent="0.3">
      <c r="A582" s="22">
        <v>256</v>
      </c>
      <c r="B582" s="22">
        <v>48</v>
      </c>
      <c r="C582" s="22">
        <v>4000</v>
      </c>
      <c r="D582" s="22">
        <v>6.4</v>
      </c>
    </row>
    <row r="583" spans="1:4" x14ac:dyDescent="0.3">
      <c r="A583" s="22">
        <v>512</v>
      </c>
      <c r="B583" s="22">
        <v>200</v>
      </c>
      <c r="C583" s="22">
        <v>4500</v>
      </c>
      <c r="D583" s="22">
        <v>6.8</v>
      </c>
    </row>
    <row r="584" spans="1:4" x14ac:dyDescent="0.3">
      <c r="A584" s="22">
        <v>1024</v>
      </c>
      <c r="B584" s="22">
        <v>64</v>
      </c>
      <c r="C584" s="22">
        <v>5000</v>
      </c>
      <c r="D584" s="22">
        <v>6.3</v>
      </c>
    </row>
    <row r="585" spans="1:4" x14ac:dyDescent="0.3">
      <c r="A585" s="22">
        <v>512</v>
      </c>
      <c r="B585" s="22">
        <v>108</v>
      </c>
      <c r="C585" s="22">
        <v>6000</v>
      </c>
      <c r="D585" s="22">
        <v>7.1</v>
      </c>
    </row>
    <row r="586" spans="1:4" x14ac:dyDescent="0.3">
      <c r="A586" s="22">
        <v>1024</v>
      </c>
      <c r="B586" s="22">
        <v>48</v>
      </c>
      <c r="C586" s="22">
        <v>5500</v>
      </c>
      <c r="D586" s="22">
        <v>5.7</v>
      </c>
    </row>
    <row r="587" spans="1:4" x14ac:dyDescent="0.3">
      <c r="A587" s="22">
        <v>512</v>
      </c>
      <c r="B587" s="22">
        <v>108</v>
      </c>
      <c r="C587" s="22">
        <v>4500</v>
      </c>
      <c r="D587" s="22">
        <v>5.9</v>
      </c>
    </row>
    <row r="588" spans="1:4" x14ac:dyDescent="0.3">
      <c r="A588" s="22">
        <v>1024</v>
      </c>
      <c r="B588" s="22">
        <v>12</v>
      </c>
      <c r="C588" s="22">
        <v>6000</v>
      </c>
      <c r="D588" s="22">
        <v>6.3</v>
      </c>
    </row>
    <row r="589" spans="1:4" x14ac:dyDescent="0.3">
      <c r="A589" s="22">
        <v>512</v>
      </c>
      <c r="B589" s="22">
        <v>200</v>
      </c>
      <c r="C589" s="22">
        <v>5000</v>
      </c>
      <c r="D589" s="22">
        <v>6.2</v>
      </c>
    </row>
    <row r="590" spans="1:4" x14ac:dyDescent="0.3">
      <c r="A590" s="22">
        <v>512</v>
      </c>
      <c r="B590" s="22">
        <v>200</v>
      </c>
      <c r="C590" s="22">
        <v>5500</v>
      </c>
      <c r="D590" s="22">
        <v>6.5</v>
      </c>
    </row>
    <row r="591" spans="1:4" x14ac:dyDescent="0.3">
      <c r="A591" s="22">
        <v>128</v>
      </c>
      <c r="B591" s="22">
        <v>12</v>
      </c>
      <c r="C591" s="22">
        <v>4000</v>
      </c>
      <c r="D591" s="22">
        <v>6.1</v>
      </c>
    </row>
    <row r="592" spans="1:4" x14ac:dyDescent="0.3">
      <c r="A592" s="22">
        <v>128</v>
      </c>
      <c r="B592" s="22">
        <v>12</v>
      </c>
      <c r="C592" s="22">
        <v>6000</v>
      </c>
      <c r="D592" s="22">
        <v>7.2</v>
      </c>
    </row>
    <row r="593" spans="1:4" x14ac:dyDescent="0.3">
      <c r="A593" s="22">
        <v>1024</v>
      </c>
      <c r="B593" s="22">
        <v>12</v>
      </c>
      <c r="C593" s="22">
        <v>5500</v>
      </c>
      <c r="D593" s="22">
        <v>5.9</v>
      </c>
    </row>
    <row r="594" spans="1:4" x14ac:dyDescent="0.3">
      <c r="A594" s="22">
        <v>128</v>
      </c>
      <c r="B594" s="22">
        <v>48</v>
      </c>
      <c r="C594" s="22">
        <v>5500</v>
      </c>
      <c r="D594" s="22">
        <v>6</v>
      </c>
    </row>
    <row r="595" spans="1:4" x14ac:dyDescent="0.3">
      <c r="A595" s="22">
        <v>256</v>
      </c>
      <c r="B595" s="22">
        <v>108</v>
      </c>
      <c r="C595" s="22">
        <v>4000</v>
      </c>
      <c r="D595" s="22">
        <v>6</v>
      </c>
    </row>
    <row r="596" spans="1:4" x14ac:dyDescent="0.3">
      <c r="A596" s="22">
        <v>256</v>
      </c>
      <c r="B596" s="22">
        <v>200</v>
      </c>
      <c r="C596" s="22">
        <v>5000</v>
      </c>
      <c r="D596" s="22">
        <v>6.1</v>
      </c>
    </row>
    <row r="597" spans="1:4" x14ac:dyDescent="0.3">
      <c r="A597" s="22">
        <v>256</v>
      </c>
      <c r="B597" s="22">
        <v>50</v>
      </c>
      <c r="C597" s="22">
        <v>4000</v>
      </c>
      <c r="D597" s="22">
        <v>7.1</v>
      </c>
    </row>
    <row r="598" spans="1:4" x14ac:dyDescent="0.3">
      <c r="A598" s="22">
        <v>128</v>
      </c>
      <c r="B598" s="22">
        <v>200</v>
      </c>
      <c r="C598" s="22">
        <v>5500</v>
      </c>
      <c r="D598" s="22">
        <v>5.7</v>
      </c>
    </row>
    <row r="599" spans="1:4" x14ac:dyDescent="0.3">
      <c r="A599" s="22">
        <v>512</v>
      </c>
      <c r="B599" s="22">
        <v>64</v>
      </c>
      <c r="C599" s="22">
        <v>6000</v>
      </c>
      <c r="D599" s="22">
        <v>7.2</v>
      </c>
    </row>
    <row r="600" spans="1:4" x14ac:dyDescent="0.3">
      <c r="A600" s="22">
        <v>64</v>
      </c>
      <c r="B600" s="22">
        <v>200</v>
      </c>
      <c r="C600" s="22">
        <v>5500</v>
      </c>
      <c r="D600" s="22">
        <v>7</v>
      </c>
    </row>
    <row r="601" spans="1:4" x14ac:dyDescent="0.3">
      <c r="A601" s="22">
        <v>256</v>
      </c>
      <c r="B601" s="22">
        <v>12</v>
      </c>
      <c r="C601" s="22">
        <v>4000</v>
      </c>
      <c r="D601" s="22">
        <v>5.9</v>
      </c>
    </row>
    <row r="602" spans="1:4" x14ac:dyDescent="0.3">
      <c r="A602" s="22">
        <v>128</v>
      </c>
      <c r="B602" s="22">
        <v>200</v>
      </c>
      <c r="C602" s="22">
        <v>6000</v>
      </c>
      <c r="D602" s="22">
        <v>6.7</v>
      </c>
    </row>
    <row r="603" spans="1:4" x14ac:dyDescent="0.3">
      <c r="A603" s="22">
        <v>512</v>
      </c>
      <c r="B603" s="22">
        <v>64</v>
      </c>
      <c r="C603" s="22">
        <v>6000</v>
      </c>
      <c r="D603" s="22">
        <v>6.8</v>
      </c>
    </row>
    <row r="604" spans="1:4" x14ac:dyDescent="0.3">
      <c r="A604" s="22">
        <v>256</v>
      </c>
      <c r="B604" s="22">
        <v>48</v>
      </c>
      <c r="C604" s="22">
        <v>4500</v>
      </c>
      <c r="D604" s="22">
        <v>5.7</v>
      </c>
    </row>
    <row r="605" spans="1:4" x14ac:dyDescent="0.3">
      <c r="A605" s="22">
        <v>256</v>
      </c>
      <c r="B605" s="22">
        <v>108</v>
      </c>
      <c r="C605" s="22">
        <v>6000</v>
      </c>
      <c r="D605" s="22">
        <v>6.8</v>
      </c>
    </row>
    <row r="606" spans="1:4" x14ac:dyDescent="0.3">
      <c r="A606" s="22">
        <v>1024</v>
      </c>
      <c r="B606" s="22">
        <v>200</v>
      </c>
      <c r="C606" s="22">
        <v>4000</v>
      </c>
      <c r="D606" s="22">
        <v>5.6</v>
      </c>
    </row>
    <row r="607" spans="1:4" x14ac:dyDescent="0.3">
      <c r="A607" s="22">
        <v>512</v>
      </c>
      <c r="B607" s="22">
        <v>108</v>
      </c>
      <c r="C607" s="22">
        <v>5500</v>
      </c>
      <c r="D607" s="22">
        <v>6.1</v>
      </c>
    </row>
    <row r="608" spans="1:4" x14ac:dyDescent="0.3">
      <c r="A608" s="22">
        <v>512</v>
      </c>
      <c r="B608" s="22">
        <v>200</v>
      </c>
      <c r="C608" s="22">
        <v>5500</v>
      </c>
      <c r="D608" s="22">
        <v>6.6</v>
      </c>
    </row>
    <row r="609" spans="1:4" x14ac:dyDescent="0.3">
      <c r="A609" s="22">
        <v>512</v>
      </c>
      <c r="B609" s="22">
        <v>48</v>
      </c>
      <c r="C609" s="22">
        <v>6000</v>
      </c>
      <c r="D609" s="22">
        <v>7.1</v>
      </c>
    </row>
    <row r="610" spans="1:4" x14ac:dyDescent="0.3">
      <c r="A610" s="22">
        <v>256</v>
      </c>
      <c r="B610" s="22">
        <v>50</v>
      </c>
      <c r="C610" s="22">
        <v>4500</v>
      </c>
      <c r="D610" s="22">
        <v>5.8</v>
      </c>
    </row>
    <row r="611" spans="1:4" x14ac:dyDescent="0.3">
      <c r="A611" s="22">
        <v>512</v>
      </c>
      <c r="B611" s="22">
        <v>50</v>
      </c>
      <c r="C611" s="22">
        <v>5000</v>
      </c>
      <c r="D611" s="22">
        <v>6.8</v>
      </c>
    </row>
    <row r="612" spans="1:4" x14ac:dyDescent="0.3">
      <c r="A612" s="22">
        <v>512</v>
      </c>
      <c r="B612" s="22">
        <v>50</v>
      </c>
      <c r="C612" s="22">
        <v>5500</v>
      </c>
      <c r="D612" s="22">
        <v>6.2</v>
      </c>
    </row>
    <row r="613" spans="1:4" x14ac:dyDescent="0.3">
      <c r="A613" s="22">
        <v>256</v>
      </c>
      <c r="B613" s="22">
        <v>200</v>
      </c>
      <c r="C613" s="22">
        <v>4500</v>
      </c>
      <c r="D613" s="22">
        <v>6.8</v>
      </c>
    </row>
    <row r="614" spans="1:4" x14ac:dyDescent="0.3">
      <c r="A614" s="22">
        <v>64</v>
      </c>
      <c r="B614" s="22">
        <v>108</v>
      </c>
      <c r="C614" s="22">
        <v>4000</v>
      </c>
      <c r="D614" s="22">
        <v>5.9</v>
      </c>
    </row>
    <row r="615" spans="1:4" x14ac:dyDescent="0.3">
      <c r="A615" s="22">
        <v>64</v>
      </c>
      <c r="B615" s="22">
        <v>108</v>
      </c>
      <c r="C615" s="22">
        <v>4000</v>
      </c>
      <c r="D615" s="22">
        <v>6.3</v>
      </c>
    </row>
    <row r="616" spans="1:4" x14ac:dyDescent="0.3">
      <c r="A616" s="22">
        <v>128</v>
      </c>
      <c r="B616" s="22">
        <v>48</v>
      </c>
      <c r="C616" s="22">
        <v>5500</v>
      </c>
      <c r="D616" s="22">
        <v>5.8</v>
      </c>
    </row>
    <row r="617" spans="1:4" x14ac:dyDescent="0.3">
      <c r="A617" s="22">
        <v>64</v>
      </c>
      <c r="B617" s="22">
        <v>200</v>
      </c>
      <c r="C617" s="22">
        <v>6000</v>
      </c>
      <c r="D617" s="22">
        <v>5.6</v>
      </c>
    </row>
    <row r="618" spans="1:4" x14ac:dyDescent="0.3">
      <c r="A618" s="22">
        <v>128</v>
      </c>
      <c r="B618" s="22">
        <v>64</v>
      </c>
      <c r="C618" s="22">
        <v>5000</v>
      </c>
      <c r="D618" s="22">
        <v>5.8</v>
      </c>
    </row>
    <row r="619" spans="1:4" x14ac:dyDescent="0.3">
      <c r="A619" s="22">
        <v>1024</v>
      </c>
      <c r="B619" s="22">
        <v>48</v>
      </c>
      <c r="C619" s="22">
        <v>6000</v>
      </c>
      <c r="D619" s="22">
        <v>6.6</v>
      </c>
    </row>
    <row r="620" spans="1:4" x14ac:dyDescent="0.3">
      <c r="A620" s="22">
        <v>128</v>
      </c>
      <c r="B620" s="22">
        <v>200</v>
      </c>
      <c r="C620" s="22">
        <v>6000</v>
      </c>
      <c r="D620" s="22">
        <v>6</v>
      </c>
    </row>
    <row r="621" spans="1:4" x14ac:dyDescent="0.3">
      <c r="A621" s="22">
        <v>1024</v>
      </c>
      <c r="B621" s="22">
        <v>200</v>
      </c>
      <c r="C621" s="22">
        <v>5000</v>
      </c>
      <c r="D621" s="22">
        <v>5.5</v>
      </c>
    </row>
    <row r="622" spans="1:4" x14ac:dyDescent="0.3">
      <c r="A622" s="22">
        <v>64</v>
      </c>
      <c r="B622" s="22">
        <v>12</v>
      </c>
      <c r="C622" s="22">
        <v>5500</v>
      </c>
      <c r="D622" s="22">
        <v>6.1</v>
      </c>
    </row>
    <row r="623" spans="1:4" x14ac:dyDescent="0.3">
      <c r="A623" s="22">
        <v>512</v>
      </c>
      <c r="B623" s="22">
        <v>12</v>
      </c>
      <c r="C623" s="22">
        <v>4500</v>
      </c>
      <c r="D623" s="22">
        <v>6</v>
      </c>
    </row>
    <row r="624" spans="1:4" x14ac:dyDescent="0.3">
      <c r="A624" s="22">
        <v>1024</v>
      </c>
      <c r="B624" s="22">
        <v>12</v>
      </c>
      <c r="C624" s="22">
        <v>5000</v>
      </c>
      <c r="D624" s="22">
        <v>6.1</v>
      </c>
    </row>
    <row r="625" spans="1:4" x14ac:dyDescent="0.3">
      <c r="A625" s="22">
        <v>256</v>
      </c>
      <c r="B625" s="22">
        <v>12</v>
      </c>
      <c r="C625" s="22">
        <v>4500</v>
      </c>
      <c r="D625" s="22">
        <v>6.6</v>
      </c>
    </row>
    <row r="626" spans="1:4" x14ac:dyDescent="0.3">
      <c r="A626" s="22">
        <v>512</v>
      </c>
      <c r="B626" s="22">
        <v>48</v>
      </c>
      <c r="C626" s="22">
        <v>6000</v>
      </c>
      <c r="D626" s="22">
        <v>5.9</v>
      </c>
    </row>
    <row r="627" spans="1:4" x14ac:dyDescent="0.3">
      <c r="A627" s="22">
        <v>64</v>
      </c>
      <c r="B627" s="22">
        <v>64</v>
      </c>
      <c r="C627" s="22">
        <v>5000</v>
      </c>
      <c r="D627" s="22">
        <v>5.9</v>
      </c>
    </row>
    <row r="628" spans="1:4" x14ac:dyDescent="0.3">
      <c r="A628" s="22">
        <v>256</v>
      </c>
      <c r="B628" s="22">
        <v>50</v>
      </c>
      <c r="C628" s="22">
        <v>5000</v>
      </c>
      <c r="D628" s="22">
        <v>5.8</v>
      </c>
    </row>
    <row r="629" spans="1:4" x14ac:dyDescent="0.3">
      <c r="A629" s="22">
        <v>64</v>
      </c>
      <c r="B629" s="22">
        <v>64</v>
      </c>
      <c r="C629" s="22">
        <v>6000</v>
      </c>
      <c r="D629" s="22">
        <v>6.8</v>
      </c>
    </row>
    <row r="630" spans="1:4" x14ac:dyDescent="0.3">
      <c r="A630" s="22">
        <v>256</v>
      </c>
      <c r="B630" s="22">
        <v>108</v>
      </c>
      <c r="C630" s="22">
        <v>4000</v>
      </c>
      <c r="D630" s="22">
        <v>6.1</v>
      </c>
    </row>
    <row r="631" spans="1:4" x14ac:dyDescent="0.3">
      <c r="A631" s="22">
        <v>64</v>
      </c>
      <c r="B631" s="22">
        <v>108</v>
      </c>
      <c r="C631" s="22">
        <v>5500</v>
      </c>
      <c r="D631" s="22">
        <v>5.7</v>
      </c>
    </row>
    <row r="632" spans="1:4" x14ac:dyDescent="0.3">
      <c r="A632" s="22">
        <v>64</v>
      </c>
      <c r="B632" s="22">
        <v>12</v>
      </c>
      <c r="C632" s="22">
        <v>4000</v>
      </c>
      <c r="D632" s="22">
        <v>7</v>
      </c>
    </row>
    <row r="633" spans="1:4" x14ac:dyDescent="0.3">
      <c r="A633" s="22">
        <v>128</v>
      </c>
      <c r="B633" s="22">
        <v>200</v>
      </c>
      <c r="C633" s="22">
        <v>6000</v>
      </c>
      <c r="D633" s="22">
        <v>5.8</v>
      </c>
    </row>
    <row r="634" spans="1:4" x14ac:dyDescent="0.3">
      <c r="A634" s="22">
        <v>256</v>
      </c>
      <c r="B634" s="22">
        <v>200</v>
      </c>
      <c r="C634" s="22">
        <v>6000</v>
      </c>
      <c r="D634" s="22">
        <v>6.8</v>
      </c>
    </row>
    <row r="635" spans="1:4" x14ac:dyDescent="0.3">
      <c r="A635" s="22">
        <v>1024</v>
      </c>
      <c r="B635" s="22">
        <v>50</v>
      </c>
      <c r="C635" s="22">
        <v>5500</v>
      </c>
      <c r="D635" s="22">
        <v>6.2</v>
      </c>
    </row>
    <row r="636" spans="1:4" x14ac:dyDescent="0.3">
      <c r="A636" s="22">
        <v>128</v>
      </c>
      <c r="B636" s="22">
        <v>48</v>
      </c>
      <c r="C636" s="22">
        <v>4000</v>
      </c>
      <c r="D636" s="22">
        <v>6</v>
      </c>
    </row>
    <row r="637" spans="1:4" x14ac:dyDescent="0.3">
      <c r="A637" s="22">
        <v>64</v>
      </c>
      <c r="B637" s="22">
        <v>108</v>
      </c>
      <c r="C637" s="22">
        <v>6000</v>
      </c>
      <c r="D637" s="22">
        <v>6.2</v>
      </c>
    </row>
    <row r="638" spans="1:4" x14ac:dyDescent="0.3">
      <c r="A638" s="22">
        <v>128</v>
      </c>
      <c r="B638" s="22">
        <v>108</v>
      </c>
      <c r="C638" s="22">
        <v>5000</v>
      </c>
      <c r="D638" s="22">
        <v>6.6</v>
      </c>
    </row>
    <row r="639" spans="1:4" x14ac:dyDescent="0.3">
      <c r="A639" s="22">
        <v>512</v>
      </c>
      <c r="B639" s="22">
        <v>50</v>
      </c>
      <c r="C639" s="22">
        <v>6000</v>
      </c>
      <c r="D639" s="22">
        <v>6.5</v>
      </c>
    </row>
    <row r="640" spans="1:4" x14ac:dyDescent="0.3">
      <c r="A640" s="22">
        <v>1024</v>
      </c>
      <c r="B640" s="22">
        <v>48</v>
      </c>
      <c r="C640" s="22">
        <v>4500</v>
      </c>
      <c r="D640" s="22">
        <v>5.9</v>
      </c>
    </row>
    <row r="641" spans="1:4" x14ac:dyDescent="0.3">
      <c r="A641" s="22">
        <v>512</v>
      </c>
      <c r="B641" s="22">
        <v>200</v>
      </c>
      <c r="C641" s="22">
        <v>6000</v>
      </c>
      <c r="D641" s="22">
        <v>6.5</v>
      </c>
    </row>
    <row r="642" spans="1:4" x14ac:dyDescent="0.3">
      <c r="A642" s="22">
        <v>512</v>
      </c>
      <c r="B642" s="22">
        <v>200</v>
      </c>
      <c r="C642" s="22">
        <v>5000</v>
      </c>
      <c r="D642" s="22">
        <v>5.9</v>
      </c>
    </row>
    <row r="643" spans="1:4" x14ac:dyDescent="0.3">
      <c r="A643" s="22">
        <v>256</v>
      </c>
      <c r="B643" s="22">
        <v>50</v>
      </c>
      <c r="C643" s="22">
        <v>6000</v>
      </c>
      <c r="D643" s="22">
        <v>7</v>
      </c>
    </row>
    <row r="644" spans="1:4" x14ac:dyDescent="0.3">
      <c r="A644" s="22">
        <v>512</v>
      </c>
      <c r="B644" s="22">
        <v>50</v>
      </c>
      <c r="C644" s="22">
        <v>5500</v>
      </c>
      <c r="D644" s="22">
        <v>6.7</v>
      </c>
    </row>
    <row r="645" spans="1:4" x14ac:dyDescent="0.3">
      <c r="A645" s="22">
        <v>64</v>
      </c>
      <c r="B645" s="22">
        <v>48</v>
      </c>
      <c r="C645" s="22">
        <v>6000</v>
      </c>
      <c r="D645" s="22">
        <v>6.1</v>
      </c>
    </row>
    <row r="646" spans="1:4" x14ac:dyDescent="0.3">
      <c r="A646" s="22">
        <v>512</v>
      </c>
      <c r="B646" s="22">
        <v>64</v>
      </c>
      <c r="C646" s="22">
        <v>5000</v>
      </c>
      <c r="D646" s="22">
        <v>7</v>
      </c>
    </row>
    <row r="647" spans="1:4" x14ac:dyDescent="0.3">
      <c r="A647" s="22">
        <v>64</v>
      </c>
      <c r="B647" s="22">
        <v>12</v>
      </c>
      <c r="C647" s="22">
        <v>5500</v>
      </c>
      <c r="D647" s="22">
        <v>5.8</v>
      </c>
    </row>
    <row r="648" spans="1:4" x14ac:dyDescent="0.3">
      <c r="A648" s="22">
        <v>256</v>
      </c>
      <c r="B648" s="22">
        <v>50</v>
      </c>
      <c r="C648" s="22">
        <v>6000</v>
      </c>
      <c r="D648" s="22">
        <v>6</v>
      </c>
    </row>
    <row r="649" spans="1:4" x14ac:dyDescent="0.3">
      <c r="A649" s="22">
        <v>512</v>
      </c>
      <c r="B649" s="22">
        <v>200</v>
      </c>
      <c r="C649" s="22">
        <v>5500</v>
      </c>
      <c r="D649" s="22">
        <v>5.6</v>
      </c>
    </row>
    <row r="650" spans="1:4" x14ac:dyDescent="0.3">
      <c r="A650" s="22">
        <v>128</v>
      </c>
      <c r="B650" s="22">
        <v>50</v>
      </c>
      <c r="C650" s="22">
        <v>4500</v>
      </c>
      <c r="D650" s="22">
        <v>6.8</v>
      </c>
    </row>
    <row r="651" spans="1:4" x14ac:dyDescent="0.3">
      <c r="A651" s="22">
        <v>256</v>
      </c>
      <c r="B651" s="22">
        <v>64</v>
      </c>
      <c r="C651" s="22">
        <v>6000</v>
      </c>
      <c r="D651" s="22">
        <v>6.5</v>
      </c>
    </row>
    <row r="652" spans="1:4" x14ac:dyDescent="0.3">
      <c r="A652" s="22">
        <v>1024</v>
      </c>
      <c r="B652" s="22">
        <v>200</v>
      </c>
      <c r="C652" s="22">
        <v>5500</v>
      </c>
      <c r="D652" s="22">
        <v>5.6</v>
      </c>
    </row>
    <row r="653" spans="1:4" x14ac:dyDescent="0.3">
      <c r="A653" s="22">
        <v>1024</v>
      </c>
      <c r="B653" s="22">
        <v>64</v>
      </c>
      <c r="C653" s="22">
        <v>6000</v>
      </c>
      <c r="D653" s="22">
        <v>6.9</v>
      </c>
    </row>
    <row r="654" spans="1:4" x14ac:dyDescent="0.3">
      <c r="A654" s="22">
        <v>256</v>
      </c>
      <c r="B654" s="22">
        <v>48</v>
      </c>
      <c r="C654" s="22">
        <v>4500</v>
      </c>
      <c r="D654" s="22">
        <v>5.5</v>
      </c>
    </row>
    <row r="655" spans="1:4" x14ac:dyDescent="0.3">
      <c r="A655" s="22">
        <v>1024</v>
      </c>
      <c r="B655" s="22">
        <v>48</v>
      </c>
      <c r="C655" s="22">
        <v>4000</v>
      </c>
      <c r="D655" s="22">
        <v>7.1</v>
      </c>
    </row>
    <row r="656" spans="1:4" x14ac:dyDescent="0.3">
      <c r="A656" s="22">
        <v>1024</v>
      </c>
      <c r="B656" s="22">
        <v>12</v>
      </c>
      <c r="C656" s="22">
        <v>4500</v>
      </c>
      <c r="D656" s="22">
        <v>6.2</v>
      </c>
    </row>
    <row r="657" spans="1:4" x14ac:dyDescent="0.3">
      <c r="A657" s="22">
        <v>256</v>
      </c>
      <c r="B657" s="22">
        <v>48</v>
      </c>
      <c r="C657" s="22">
        <v>4500</v>
      </c>
      <c r="D657" s="22">
        <v>7</v>
      </c>
    </row>
    <row r="658" spans="1:4" x14ac:dyDescent="0.3">
      <c r="A658" s="22">
        <v>1024</v>
      </c>
      <c r="B658" s="22">
        <v>48</v>
      </c>
      <c r="C658" s="22">
        <v>5500</v>
      </c>
      <c r="D658" s="22">
        <v>6.1</v>
      </c>
    </row>
    <row r="659" spans="1:4" x14ac:dyDescent="0.3">
      <c r="A659" s="22">
        <v>64</v>
      </c>
      <c r="B659" s="22">
        <v>48</v>
      </c>
      <c r="C659" s="22">
        <v>4000</v>
      </c>
      <c r="D659" s="22">
        <v>6.6</v>
      </c>
    </row>
    <row r="660" spans="1:4" x14ac:dyDescent="0.3">
      <c r="A660" s="22">
        <v>512</v>
      </c>
      <c r="B660" s="22">
        <v>200</v>
      </c>
      <c r="C660" s="22">
        <v>5500</v>
      </c>
      <c r="D660" s="22">
        <v>7.1</v>
      </c>
    </row>
    <row r="661" spans="1:4" x14ac:dyDescent="0.3">
      <c r="A661" s="22">
        <v>512</v>
      </c>
      <c r="B661" s="22">
        <v>12</v>
      </c>
      <c r="C661" s="22">
        <v>5500</v>
      </c>
      <c r="D661" s="22">
        <v>6.9</v>
      </c>
    </row>
    <row r="662" spans="1:4" x14ac:dyDescent="0.3">
      <c r="A662" s="22">
        <v>128</v>
      </c>
      <c r="B662" s="22">
        <v>48</v>
      </c>
      <c r="C662" s="22">
        <v>4000</v>
      </c>
      <c r="D662" s="22">
        <v>6.7</v>
      </c>
    </row>
    <row r="663" spans="1:4" x14ac:dyDescent="0.3">
      <c r="A663" s="22">
        <v>256</v>
      </c>
      <c r="B663" s="22">
        <v>50</v>
      </c>
      <c r="C663" s="22">
        <v>4500</v>
      </c>
      <c r="D663" s="22">
        <v>6.6</v>
      </c>
    </row>
    <row r="664" spans="1:4" x14ac:dyDescent="0.3">
      <c r="A664" s="22">
        <v>128</v>
      </c>
      <c r="B664" s="22">
        <v>108</v>
      </c>
      <c r="C664" s="22">
        <v>5000</v>
      </c>
      <c r="D664" s="22">
        <v>6.8</v>
      </c>
    </row>
    <row r="665" spans="1:4" x14ac:dyDescent="0.3">
      <c r="A665" s="22">
        <v>64</v>
      </c>
      <c r="B665" s="22">
        <v>48</v>
      </c>
      <c r="C665" s="22">
        <v>5000</v>
      </c>
      <c r="D665" s="22">
        <v>6.8</v>
      </c>
    </row>
    <row r="666" spans="1:4" x14ac:dyDescent="0.3">
      <c r="A666" s="22">
        <v>256</v>
      </c>
      <c r="B666" s="22">
        <v>12</v>
      </c>
      <c r="C666" s="22">
        <v>4000</v>
      </c>
      <c r="D666" s="22">
        <v>6.5</v>
      </c>
    </row>
    <row r="667" spans="1:4" x14ac:dyDescent="0.3">
      <c r="A667" s="22">
        <v>1024</v>
      </c>
      <c r="B667" s="22">
        <v>12</v>
      </c>
      <c r="C667" s="22">
        <v>4500</v>
      </c>
      <c r="D667" s="22">
        <v>6.4</v>
      </c>
    </row>
    <row r="668" spans="1:4" x14ac:dyDescent="0.3">
      <c r="A668" s="22">
        <v>128</v>
      </c>
      <c r="B668" s="22">
        <v>200</v>
      </c>
      <c r="C668" s="22">
        <v>6000</v>
      </c>
      <c r="D668" s="22">
        <v>6.7</v>
      </c>
    </row>
    <row r="669" spans="1:4" x14ac:dyDescent="0.3">
      <c r="A669" s="22">
        <v>512</v>
      </c>
      <c r="B669" s="22">
        <v>108</v>
      </c>
      <c r="C669" s="22">
        <v>4000</v>
      </c>
      <c r="D669" s="22">
        <v>6.1</v>
      </c>
    </row>
    <row r="670" spans="1:4" x14ac:dyDescent="0.3">
      <c r="A670" s="22">
        <v>256</v>
      </c>
      <c r="B670" s="22">
        <v>12</v>
      </c>
      <c r="C670" s="22">
        <v>5000</v>
      </c>
      <c r="D670" s="22">
        <v>6.6</v>
      </c>
    </row>
    <row r="671" spans="1:4" x14ac:dyDescent="0.3">
      <c r="A671" s="22">
        <v>512</v>
      </c>
      <c r="B671" s="22">
        <v>200</v>
      </c>
      <c r="C671" s="22">
        <v>6000</v>
      </c>
      <c r="D671" s="22">
        <v>6</v>
      </c>
    </row>
    <row r="672" spans="1:4" x14ac:dyDescent="0.3">
      <c r="A672" s="22">
        <v>1024</v>
      </c>
      <c r="B672" s="22">
        <v>108</v>
      </c>
      <c r="C672" s="22">
        <v>5000</v>
      </c>
      <c r="D672" s="22">
        <v>6.7</v>
      </c>
    </row>
    <row r="673" spans="1:4" x14ac:dyDescent="0.3">
      <c r="A673" s="22">
        <v>1024</v>
      </c>
      <c r="B673" s="22">
        <v>200</v>
      </c>
      <c r="C673" s="22">
        <v>6000</v>
      </c>
      <c r="D673" s="22">
        <v>6.2</v>
      </c>
    </row>
    <row r="674" spans="1:4" x14ac:dyDescent="0.3">
      <c r="A674" s="22">
        <v>512</v>
      </c>
      <c r="B674" s="22">
        <v>50</v>
      </c>
      <c r="C674" s="22">
        <v>5000</v>
      </c>
      <c r="D674" s="22">
        <v>7</v>
      </c>
    </row>
    <row r="675" spans="1:4" x14ac:dyDescent="0.3">
      <c r="A675" s="22">
        <v>64</v>
      </c>
      <c r="B675" s="22">
        <v>48</v>
      </c>
      <c r="C675" s="22">
        <v>5500</v>
      </c>
      <c r="D675" s="22">
        <v>6.5</v>
      </c>
    </row>
    <row r="676" spans="1:4" x14ac:dyDescent="0.3">
      <c r="A676" s="22">
        <v>1024</v>
      </c>
      <c r="B676" s="22">
        <v>50</v>
      </c>
      <c r="C676" s="22">
        <v>5500</v>
      </c>
      <c r="D676" s="22">
        <v>6.7</v>
      </c>
    </row>
    <row r="677" spans="1:4" x14ac:dyDescent="0.3">
      <c r="A677" s="22">
        <v>1024</v>
      </c>
      <c r="B677" s="22">
        <v>108</v>
      </c>
      <c r="C677" s="22">
        <v>6000</v>
      </c>
      <c r="D677" s="22">
        <v>6.3</v>
      </c>
    </row>
    <row r="678" spans="1:4" x14ac:dyDescent="0.3">
      <c r="A678" s="22">
        <v>64</v>
      </c>
      <c r="B678" s="22">
        <v>12</v>
      </c>
      <c r="C678" s="22">
        <v>5500</v>
      </c>
      <c r="D678" s="22">
        <v>6</v>
      </c>
    </row>
    <row r="679" spans="1:4" x14ac:dyDescent="0.3">
      <c r="A679" s="22">
        <v>64</v>
      </c>
      <c r="B679" s="22">
        <v>50</v>
      </c>
      <c r="C679" s="22">
        <v>4000</v>
      </c>
      <c r="D679" s="22">
        <v>6.6</v>
      </c>
    </row>
    <row r="680" spans="1:4" x14ac:dyDescent="0.3">
      <c r="A680" s="22">
        <v>1024</v>
      </c>
      <c r="B680" s="22">
        <v>12</v>
      </c>
      <c r="C680" s="22">
        <v>5500</v>
      </c>
      <c r="D680" s="22">
        <v>7.1</v>
      </c>
    </row>
    <row r="681" spans="1:4" x14ac:dyDescent="0.3">
      <c r="A681" s="22">
        <v>128</v>
      </c>
      <c r="B681" s="22">
        <v>48</v>
      </c>
      <c r="C681" s="22">
        <v>6000</v>
      </c>
      <c r="D681" s="22">
        <v>7.1</v>
      </c>
    </row>
    <row r="682" spans="1:4" x14ac:dyDescent="0.3">
      <c r="A682" s="22">
        <v>128</v>
      </c>
      <c r="B682" s="22">
        <v>64</v>
      </c>
      <c r="C682" s="22">
        <v>4500</v>
      </c>
      <c r="D682" s="22">
        <v>6.6</v>
      </c>
    </row>
    <row r="683" spans="1:4" x14ac:dyDescent="0.3">
      <c r="A683" s="22">
        <v>128</v>
      </c>
      <c r="B683" s="22">
        <v>108</v>
      </c>
      <c r="C683" s="22">
        <v>6000</v>
      </c>
      <c r="D683" s="22">
        <v>6.6</v>
      </c>
    </row>
    <row r="684" spans="1:4" x14ac:dyDescent="0.3">
      <c r="A684" s="22">
        <v>1024</v>
      </c>
      <c r="B684" s="22">
        <v>12</v>
      </c>
      <c r="C684" s="22">
        <v>4500</v>
      </c>
      <c r="D684" s="22">
        <v>6.7</v>
      </c>
    </row>
    <row r="685" spans="1:4" x14ac:dyDescent="0.3">
      <c r="A685" s="22">
        <v>64</v>
      </c>
      <c r="B685" s="22">
        <v>200</v>
      </c>
      <c r="C685" s="22">
        <v>4000</v>
      </c>
      <c r="D685" s="22">
        <v>5.9</v>
      </c>
    </row>
    <row r="686" spans="1:4" x14ac:dyDescent="0.3">
      <c r="A686" s="22">
        <v>128</v>
      </c>
      <c r="B686" s="22">
        <v>48</v>
      </c>
      <c r="C686" s="22">
        <v>5000</v>
      </c>
      <c r="D686" s="22">
        <v>5.7</v>
      </c>
    </row>
    <row r="687" spans="1:4" x14ac:dyDescent="0.3">
      <c r="A687" s="22">
        <v>128</v>
      </c>
      <c r="B687" s="22">
        <v>50</v>
      </c>
      <c r="C687" s="22">
        <v>4000</v>
      </c>
      <c r="D687" s="22">
        <v>5.7</v>
      </c>
    </row>
    <row r="688" spans="1:4" x14ac:dyDescent="0.3">
      <c r="A688" s="22">
        <v>128</v>
      </c>
      <c r="B688" s="22">
        <v>50</v>
      </c>
      <c r="C688" s="22">
        <v>6000</v>
      </c>
      <c r="D688" s="22">
        <v>6.6</v>
      </c>
    </row>
    <row r="689" spans="1:4" x14ac:dyDescent="0.3">
      <c r="A689" s="22">
        <v>512</v>
      </c>
      <c r="B689" s="22">
        <v>48</v>
      </c>
      <c r="C689" s="22">
        <v>4000</v>
      </c>
      <c r="D689" s="22">
        <v>6.1</v>
      </c>
    </row>
    <row r="690" spans="1:4" x14ac:dyDescent="0.3">
      <c r="A690" s="22">
        <v>128</v>
      </c>
      <c r="B690" s="22">
        <v>64</v>
      </c>
      <c r="C690" s="22">
        <v>6000</v>
      </c>
      <c r="D690" s="22">
        <v>6.9</v>
      </c>
    </row>
    <row r="691" spans="1:4" x14ac:dyDescent="0.3">
      <c r="A691" s="22">
        <v>64</v>
      </c>
      <c r="B691" s="22">
        <v>12</v>
      </c>
      <c r="C691" s="22">
        <v>6000</v>
      </c>
      <c r="D691" s="22">
        <v>6.5</v>
      </c>
    </row>
    <row r="692" spans="1:4" x14ac:dyDescent="0.3">
      <c r="A692" s="22">
        <v>128</v>
      </c>
      <c r="B692" s="22">
        <v>200</v>
      </c>
      <c r="C692" s="22">
        <v>5000</v>
      </c>
      <c r="D692" s="22">
        <v>6.7</v>
      </c>
    </row>
    <row r="693" spans="1:4" x14ac:dyDescent="0.3">
      <c r="A693" s="22">
        <v>1024</v>
      </c>
      <c r="B693" s="22">
        <v>200</v>
      </c>
      <c r="C693" s="22">
        <v>4000</v>
      </c>
      <c r="D693" s="22">
        <v>5.6</v>
      </c>
    </row>
    <row r="694" spans="1:4" x14ac:dyDescent="0.3">
      <c r="A694" s="22">
        <v>256</v>
      </c>
      <c r="B694" s="22">
        <v>50</v>
      </c>
      <c r="C694" s="22">
        <v>4000</v>
      </c>
      <c r="D694" s="22">
        <v>6</v>
      </c>
    </row>
    <row r="695" spans="1:4" x14ac:dyDescent="0.3">
      <c r="A695" s="22">
        <v>1024</v>
      </c>
      <c r="B695" s="22">
        <v>108</v>
      </c>
      <c r="C695" s="22">
        <v>5500</v>
      </c>
      <c r="D695" s="22">
        <v>7.1</v>
      </c>
    </row>
    <row r="696" spans="1:4" x14ac:dyDescent="0.3">
      <c r="A696" s="22">
        <v>128</v>
      </c>
      <c r="B696" s="22">
        <v>12</v>
      </c>
      <c r="C696" s="22">
        <v>5000</v>
      </c>
      <c r="D696" s="22">
        <v>7</v>
      </c>
    </row>
    <row r="697" spans="1:4" x14ac:dyDescent="0.3">
      <c r="A697" s="22">
        <v>128</v>
      </c>
      <c r="B697" s="22">
        <v>64</v>
      </c>
      <c r="C697" s="22">
        <v>5500</v>
      </c>
      <c r="D697" s="22">
        <v>6.1</v>
      </c>
    </row>
    <row r="698" spans="1:4" x14ac:dyDescent="0.3">
      <c r="A698" s="22">
        <v>128</v>
      </c>
      <c r="B698" s="22">
        <v>50</v>
      </c>
      <c r="C698" s="22">
        <v>5000</v>
      </c>
      <c r="D698" s="22">
        <v>7.1</v>
      </c>
    </row>
    <row r="699" spans="1:4" x14ac:dyDescent="0.3">
      <c r="A699" s="22">
        <v>64</v>
      </c>
      <c r="B699" s="22">
        <v>64</v>
      </c>
      <c r="C699" s="22">
        <v>4500</v>
      </c>
      <c r="D699" s="22">
        <v>6.1</v>
      </c>
    </row>
    <row r="700" spans="1:4" x14ac:dyDescent="0.3">
      <c r="A700" s="22">
        <v>64</v>
      </c>
      <c r="B700" s="22">
        <v>108</v>
      </c>
      <c r="C700" s="22">
        <v>6000</v>
      </c>
      <c r="D700" s="22">
        <v>5.7</v>
      </c>
    </row>
    <row r="701" spans="1:4" x14ac:dyDescent="0.3">
      <c r="A701" s="22">
        <v>64</v>
      </c>
      <c r="B701" s="22">
        <v>200</v>
      </c>
      <c r="C701" s="22">
        <v>5500</v>
      </c>
      <c r="D701" s="22">
        <v>6.1</v>
      </c>
    </row>
    <row r="702" spans="1:4" x14ac:dyDescent="0.3">
      <c r="A702" s="22">
        <v>1024</v>
      </c>
      <c r="B702" s="22">
        <v>48</v>
      </c>
      <c r="C702" s="22">
        <v>5000</v>
      </c>
      <c r="D702" s="22">
        <v>6.8</v>
      </c>
    </row>
    <row r="703" spans="1:4" x14ac:dyDescent="0.3">
      <c r="A703" s="22">
        <v>256</v>
      </c>
      <c r="B703" s="22">
        <v>108</v>
      </c>
      <c r="C703" s="22">
        <v>6000</v>
      </c>
      <c r="D703" s="22">
        <v>6</v>
      </c>
    </row>
    <row r="704" spans="1:4" x14ac:dyDescent="0.3">
      <c r="A704" s="22">
        <v>128</v>
      </c>
      <c r="B704" s="22">
        <v>12</v>
      </c>
      <c r="C704" s="22">
        <v>5500</v>
      </c>
      <c r="D704" s="22">
        <v>6.6</v>
      </c>
    </row>
    <row r="705" spans="1:4" x14ac:dyDescent="0.3">
      <c r="A705" s="22">
        <v>64</v>
      </c>
      <c r="B705" s="22">
        <v>108</v>
      </c>
      <c r="C705" s="22">
        <v>6000</v>
      </c>
      <c r="D705" s="22">
        <v>6.1</v>
      </c>
    </row>
    <row r="706" spans="1:4" x14ac:dyDescent="0.3">
      <c r="A706" s="22">
        <v>256</v>
      </c>
      <c r="B706" s="22">
        <v>64</v>
      </c>
      <c r="C706" s="22">
        <v>5000</v>
      </c>
      <c r="D706" s="22">
        <v>6.4</v>
      </c>
    </row>
    <row r="707" spans="1:4" x14ac:dyDescent="0.3">
      <c r="A707" s="22">
        <v>256</v>
      </c>
      <c r="B707" s="22">
        <v>108</v>
      </c>
      <c r="C707" s="22">
        <v>5500</v>
      </c>
      <c r="D707" s="22">
        <v>6.4</v>
      </c>
    </row>
    <row r="708" spans="1:4" x14ac:dyDescent="0.3">
      <c r="A708" s="22">
        <v>128</v>
      </c>
      <c r="B708" s="22">
        <v>64</v>
      </c>
      <c r="C708" s="22">
        <v>4500</v>
      </c>
      <c r="D708" s="22">
        <v>6.3</v>
      </c>
    </row>
    <row r="709" spans="1:4" x14ac:dyDescent="0.3">
      <c r="A709" s="22">
        <v>64</v>
      </c>
      <c r="B709" s="22">
        <v>200</v>
      </c>
      <c r="C709" s="22">
        <v>5000</v>
      </c>
      <c r="D709" s="22">
        <v>7.1</v>
      </c>
    </row>
    <row r="710" spans="1:4" x14ac:dyDescent="0.3">
      <c r="A710" s="22">
        <v>64</v>
      </c>
      <c r="B710" s="22">
        <v>200</v>
      </c>
      <c r="C710" s="22">
        <v>4000</v>
      </c>
      <c r="D710" s="22">
        <v>5.6</v>
      </c>
    </row>
    <row r="711" spans="1:4" x14ac:dyDescent="0.3">
      <c r="A711" s="22">
        <v>1024</v>
      </c>
      <c r="B711" s="22">
        <v>108</v>
      </c>
      <c r="C711" s="22">
        <v>5000</v>
      </c>
      <c r="D711" s="22">
        <v>6.1</v>
      </c>
    </row>
    <row r="712" spans="1:4" x14ac:dyDescent="0.3">
      <c r="A712" s="22">
        <v>512</v>
      </c>
      <c r="B712" s="22">
        <v>64</v>
      </c>
      <c r="C712" s="22">
        <v>5000</v>
      </c>
      <c r="D712" s="22">
        <v>7.1</v>
      </c>
    </row>
    <row r="713" spans="1:4" x14ac:dyDescent="0.3">
      <c r="A713" s="22">
        <v>128</v>
      </c>
      <c r="B713" s="22">
        <v>200</v>
      </c>
      <c r="C713" s="22">
        <v>4500</v>
      </c>
      <c r="D713" s="22">
        <v>6.7</v>
      </c>
    </row>
    <row r="714" spans="1:4" x14ac:dyDescent="0.3">
      <c r="A714" s="22">
        <v>128</v>
      </c>
      <c r="B714" s="22">
        <v>48</v>
      </c>
      <c r="C714" s="22">
        <v>5500</v>
      </c>
      <c r="D714" s="22">
        <v>6</v>
      </c>
    </row>
    <row r="715" spans="1:4" x14ac:dyDescent="0.3">
      <c r="A715" s="22">
        <v>128</v>
      </c>
      <c r="B715" s="22">
        <v>200</v>
      </c>
      <c r="C715" s="22">
        <v>5000</v>
      </c>
      <c r="D715" s="22">
        <v>6.7</v>
      </c>
    </row>
    <row r="716" spans="1:4" x14ac:dyDescent="0.3">
      <c r="A716" s="22">
        <v>64</v>
      </c>
      <c r="B716" s="22">
        <v>48</v>
      </c>
      <c r="C716" s="22">
        <v>4000</v>
      </c>
      <c r="D716" s="22">
        <v>7.2</v>
      </c>
    </row>
    <row r="717" spans="1:4" x14ac:dyDescent="0.3">
      <c r="A717" s="22">
        <v>512</v>
      </c>
      <c r="B717" s="22">
        <v>50</v>
      </c>
      <c r="C717" s="22">
        <v>4000</v>
      </c>
      <c r="D717" s="22">
        <v>6.5</v>
      </c>
    </row>
    <row r="718" spans="1:4" x14ac:dyDescent="0.3">
      <c r="A718" s="22">
        <v>64</v>
      </c>
      <c r="B718" s="22">
        <v>108</v>
      </c>
      <c r="C718" s="22">
        <v>5000</v>
      </c>
      <c r="D718" s="22">
        <v>5.9</v>
      </c>
    </row>
    <row r="719" spans="1:4" x14ac:dyDescent="0.3">
      <c r="A719" s="22">
        <v>512</v>
      </c>
      <c r="B719" s="22">
        <v>64</v>
      </c>
      <c r="C719" s="22">
        <v>4500</v>
      </c>
      <c r="D719" s="22">
        <v>7.2</v>
      </c>
    </row>
    <row r="720" spans="1:4" x14ac:dyDescent="0.3">
      <c r="A720" s="22">
        <v>512</v>
      </c>
      <c r="B720" s="22">
        <v>64</v>
      </c>
      <c r="C720" s="22">
        <v>4500</v>
      </c>
      <c r="D720" s="22">
        <v>6</v>
      </c>
    </row>
    <row r="721" spans="1:4" x14ac:dyDescent="0.3">
      <c r="A721" s="22">
        <v>1024</v>
      </c>
      <c r="B721" s="22">
        <v>200</v>
      </c>
      <c r="C721" s="22">
        <v>5500</v>
      </c>
      <c r="D721" s="22">
        <v>6.6</v>
      </c>
    </row>
    <row r="722" spans="1:4" x14ac:dyDescent="0.3">
      <c r="A722" s="22">
        <v>128</v>
      </c>
      <c r="B722" s="22">
        <v>48</v>
      </c>
      <c r="C722" s="22">
        <v>4500</v>
      </c>
      <c r="D722" s="22">
        <v>6.9</v>
      </c>
    </row>
    <row r="723" spans="1:4" x14ac:dyDescent="0.3">
      <c r="A723" s="22">
        <v>64</v>
      </c>
      <c r="B723" s="22">
        <v>12</v>
      </c>
      <c r="C723" s="22">
        <v>6000</v>
      </c>
      <c r="D723" s="22">
        <v>6.1</v>
      </c>
    </row>
    <row r="724" spans="1:4" x14ac:dyDescent="0.3">
      <c r="A724" s="22">
        <v>128</v>
      </c>
      <c r="B724" s="22">
        <v>12</v>
      </c>
      <c r="C724" s="22">
        <v>4000</v>
      </c>
      <c r="D724" s="22">
        <v>6.4</v>
      </c>
    </row>
    <row r="725" spans="1:4" x14ac:dyDescent="0.3">
      <c r="A725" s="22">
        <v>256</v>
      </c>
      <c r="B725" s="22">
        <v>12</v>
      </c>
      <c r="C725" s="22">
        <v>4500</v>
      </c>
      <c r="D725" s="22">
        <v>6.1</v>
      </c>
    </row>
    <row r="726" spans="1:4" x14ac:dyDescent="0.3">
      <c r="A726" s="22">
        <v>128</v>
      </c>
      <c r="B726" s="22">
        <v>200</v>
      </c>
      <c r="C726" s="22">
        <v>5000</v>
      </c>
      <c r="D726" s="22">
        <v>6.2</v>
      </c>
    </row>
    <row r="727" spans="1:4" x14ac:dyDescent="0.3">
      <c r="A727" s="22">
        <v>512</v>
      </c>
      <c r="B727" s="22">
        <v>64</v>
      </c>
      <c r="C727" s="22">
        <v>5000</v>
      </c>
      <c r="D727" s="22">
        <v>6.1</v>
      </c>
    </row>
    <row r="728" spans="1:4" x14ac:dyDescent="0.3">
      <c r="A728" s="22">
        <v>128</v>
      </c>
      <c r="B728" s="22">
        <v>50</v>
      </c>
      <c r="C728" s="22">
        <v>5500</v>
      </c>
      <c r="D728" s="22">
        <v>6.2</v>
      </c>
    </row>
    <row r="729" spans="1:4" x14ac:dyDescent="0.3">
      <c r="A729" s="22">
        <v>1024</v>
      </c>
      <c r="B729" s="22">
        <v>64</v>
      </c>
      <c r="C729" s="22">
        <v>4500</v>
      </c>
      <c r="D729" s="22">
        <v>6.6</v>
      </c>
    </row>
    <row r="730" spans="1:4" x14ac:dyDescent="0.3">
      <c r="A730" s="22">
        <v>64</v>
      </c>
      <c r="B730" s="22">
        <v>12</v>
      </c>
      <c r="C730" s="22">
        <v>5000</v>
      </c>
      <c r="D730" s="22">
        <v>5.6</v>
      </c>
    </row>
    <row r="731" spans="1:4" x14ac:dyDescent="0.3">
      <c r="A731" s="22">
        <v>128</v>
      </c>
      <c r="B731" s="22">
        <v>50</v>
      </c>
      <c r="C731" s="22">
        <v>5000</v>
      </c>
      <c r="D731" s="22">
        <v>6.1</v>
      </c>
    </row>
    <row r="732" spans="1:4" x14ac:dyDescent="0.3">
      <c r="A732" s="22">
        <v>256</v>
      </c>
      <c r="B732" s="22">
        <v>64</v>
      </c>
      <c r="C732" s="22">
        <v>5500</v>
      </c>
      <c r="D732" s="22">
        <v>7</v>
      </c>
    </row>
    <row r="733" spans="1:4" x14ac:dyDescent="0.3">
      <c r="A733" s="22">
        <v>128</v>
      </c>
      <c r="B733" s="22">
        <v>108</v>
      </c>
      <c r="C733" s="22">
        <v>5000</v>
      </c>
      <c r="D733" s="22">
        <v>6.8</v>
      </c>
    </row>
    <row r="734" spans="1:4" x14ac:dyDescent="0.3">
      <c r="A734" s="22">
        <v>256</v>
      </c>
      <c r="B734" s="22">
        <v>50</v>
      </c>
      <c r="C734" s="22">
        <v>5500</v>
      </c>
      <c r="D734" s="22">
        <v>5.9</v>
      </c>
    </row>
    <row r="735" spans="1:4" x14ac:dyDescent="0.3">
      <c r="A735" s="22">
        <v>1024</v>
      </c>
      <c r="B735" s="22">
        <v>48</v>
      </c>
      <c r="C735" s="22">
        <v>4000</v>
      </c>
      <c r="D735" s="22">
        <v>5.9</v>
      </c>
    </row>
    <row r="736" spans="1:4" x14ac:dyDescent="0.3">
      <c r="A736" s="22">
        <v>128</v>
      </c>
      <c r="B736" s="22">
        <v>50</v>
      </c>
      <c r="C736" s="22">
        <v>4000</v>
      </c>
      <c r="D736" s="22">
        <v>5.7</v>
      </c>
    </row>
    <row r="737" spans="1:4" x14ac:dyDescent="0.3">
      <c r="A737" s="22">
        <v>512</v>
      </c>
      <c r="B737" s="22">
        <v>48</v>
      </c>
      <c r="C737" s="22">
        <v>5500</v>
      </c>
      <c r="D737" s="22">
        <v>6.5</v>
      </c>
    </row>
    <row r="738" spans="1:4" x14ac:dyDescent="0.3">
      <c r="A738" s="22">
        <v>512</v>
      </c>
      <c r="B738" s="22">
        <v>200</v>
      </c>
      <c r="C738" s="22">
        <v>6000</v>
      </c>
      <c r="D738" s="22">
        <v>5.9</v>
      </c>
    </row>
    <row r="739" spans="1:4" x14ac:dyDescent="0.3">
      <c r="A739" s="22">
        <v>1024</v>
      </c>
      <c r="B739" s="22">
        <v>64</v>
      </c>
      <c r="C739" s="22">
        <v>6000</v>
      </c>
      <c r="D739" s="22">
        <v>5.7</v>
      </c>
    </row>
    <row r="740" spans="1:4" x14ac:dyDescent="0.3">
      <c r="A740" s="22">
        <v>128</v>
      </c>
      <c r="B740" s="22">
        <v>48</v>
      </c>
      <c r="C740" s="22">
        <v>4000</v>
      </c>
      <c r="D740" s="22">
        <v>7.1</v>
      </c>
    </row>
    <row r="741" spans="1:4" x14ac:dyDescent="0.3">
      <c r="A741" s="22">
        <v>64</v>
      </c>
      <c r="B741" s="22">
        <v>48</v>
      </c>
      <c r="C741" s="22">
        <v>5500</v>
      </c>
      <c r="D741" s="22">
        <v>6.7</v>
      </c>
    </row>
    <row r="742" spans="1:4" x14ac:dyDescent="0.3">
      <c r="A742" s="22">
        <v>256</v>
      </c>
      <c r="B742" s="22">
        <v>200</v>
      </c>
      <c r="C742" s="22">
        <v>5000</v>
      </c>
      <c r="D742" s="22">
        <v>5.5</v>
      </c>
    </row>
    <row r="743" spans="1:4" x14ac:dyDescent="0.3">
      <c r="A743" s="22">
        <v>1024</v>
      </c>
      <c r="B743" s="22">
        <v>50</v>
      </c>
      <c r="C743" s="22">
        <v>6000</v>
      </c>
      <c r="D743" s="22">
        <v>6.7</v>
      </c>
    </row>
    <row r="744" spans="1:4" x14ac:dyDescent="0.3">
      <c r="A744" s="22">
        <v>64</v>
      </c>
      <c r="B744" s="22">
        <v>108</v>
      </c>
      <c r="C744" s="22">
        <v>4000</v>
      </c>
      <c r="D744" s="22">
        <v>7</v>
      </c>
    </row>
    <row r="745" spans="1:4" x14ac:dyDescent="0.3">
      <c r="A745" s="22">
        <v>128</v>
      </c>
      <c r="B745" s="22">
        <v>108</v>
      </c>
      <c r="C745" s="22">
        <v>6000</v>
      </c>
      <c r="D745" s="22">
        <v>5.5</v>
      </c>
    </row>
    <row r="746" spans="1:4" x14ac:dyDescent="0.3">
      <c r="A746" s="22">
        <v>512</v>
      </c>
      <c r="B746" s="22">
        <v>64</v>
      </c>
      <c r="C746" s="22">
        <v>4000</v>
      </c>
      <c r="D746" s="22">
        <v>6.7</v>
      </c>
    </row>
    <row r="747" spans="1:4" x14ac:dyDescent="0.3">
      <c r="A747" s="22">
        <v>128</v>
      </c>
      <c r="B747" s="22">
        <v>200</v>
      </c>
      <c r="C747" s="22">
        <v>4000</v>
      </c>
      <c r="D747" s="22">
        <v>6.2</v>
      </c>
    </row>
    <row r="748" spans="1:4" x14ac:dyDescent="0.3">
      <c r="A748" s="22">
        <v>128</v>
      </c>
      <c r="B748" s="22">
        <v>12</v>
      </c>
      <c r="C748" s="22">
        <v>5500</v>
      </c>
      <c r="D748" s="22">
        <v>5.9</v>
      </c>
    </row>
    <row r="749" spans="1:4" x14ac:dyDescent="0.3">
      <c r="A749" s="22">
        <v>128</v>
      </c>
      <c r="B749" s="22">
        <v>200</v>
      </c>
      <c r="C749" s="22">
        <v>4500</v>
      </c>
      <c r="D749" s="22">
        <v>5.7</v>
      </c>
    </row>
    <row r="750" spans="1:4" x14ac:dyDescent="0.3">
      <c r="A750" s="22">
        <v>64</v>
      </c>
      <c r="B750" s="22">
        <v>48</v>
      </c>
      <c r="C750" s="22">
        <v>4500</v>
      </c>
      <c r="D750" s="22">
        <v>6.2</v>
      </c>
    </row>
    <row r="751" spans="1:4" x14ac:dyDescent="0.3">
      <c r="A751" s="22">
        <v>256</v>
      </c>
      <c r="B751" s="22">
        <v>108</v>
      </c>
      <c r="C751" s="22">
        <v>5000</v>
      </c>
      <c r="D751" s="22">
        <v>7</v>
      </c>
    </row>
    <row r="752" spans="1:4" x14ac:dyDescent="0.3">
      <c r="A752" s="22">
        <v>1024</v>
      </c>
      <c r="B752" s="22">
        <v>50</v>
      </c>
      <c r="C752" s="22">
        <v>4500</v>
      </c>
      <c r="D752" s="22">
        <v>7.1</v>
      </c>
    </row>
    <row r="753" spans="1:4" x14ac:dyDescent="0.3">
      <c r="A753" s="22">
        <v>64</v>
      </c>
      <c r="B753" s="22">
        <v>50</v>
      </c>
      <c r="C753" s="22">
        <v>5500</v>
      </c>
      <c r="D753" s="22">
        <v>6.6</v>
      </c>
    </row>
    <row r="754" spans="1:4" x14ac:dyDescent="0.3">
      <c r="A754" s="22">
        <v>256</v>
      </c>
      <c r="B754" s="22">
        <v>64</v>
      </c>
      <c r="C754" s="22">
        <v>5500</v>
      </c>
      <c r="D754" s="22">
        <v>5.6</v>
      </c>
    </row>
    <row r="755" spans="1:4" x14ac:dyDescent="0.3">
      <c r="A755" s="22">
        <v>1024</v>
      </c>
      <c r="B755" s="22">
        <v>12</v>
      </c>
      <c r="C755" s="22">
        <v>6000</v>
      </c>
      <c r="D755" s="22">
        <v>6.9</v>
      </c>
    </row>
    <row r="756" spans="1:4" x14ac:dyDescent="0.3">
      <c r="A756" s="22">
        <v>512</v>
      </c>
      <c r="B756" s="22">
        <v>12</v>
      </c>
      <c r="C756" s="22">
        <v>6000</v>
      </c>
      <c r="D756" s="22">
        <v>5.8</v>
      </c>
    </row>
    <row r="757" spans="1:4" x14ac:dyDescent="0.3">
      <c r="A757" s="22">
        <v>512</v>
      </c>
      <c r="B757" s="22">
        <v>200</v>
      </c>
      <c r="C757" s="22">
        <v>4500</v>
      </c>
      <c r="D757" s="22">
        <v>6.3</v>
      </c>
    </row>
    <row r="758" spans="1:4" x14ac:dyDescent="0.3">
      <c r="A758" s="22">
        <v>512</v>
      </c>
      <c r="B758" s="22">
        <v>48</v>
      </c>
      <c r="C758" s="22">
        <v>5500</v>
      </c>
      <c r="D758" s="22">
        <v>7.1</v>
      </c>
    </row>
    <row r="759" spans="1:4" x14ac:dyDescent="0.3">
      <c r="A759" s="22">
        <v>512</v>
      </c>
      <c r="B759" s="22">
        <v>200</v>
      </c>
      <c r="C759" s="22">
        <v>4000</v>
      </c>
      <c r="D759" s="22">
        <v>6.5</v>
      </c>
    </row>
    <row r="760" spans="1:4" x14ac:dyDescent="0.3">
      <c r="A760" s="22">
        <v>1024</v>
      </c>
      <c r="B760" s="22">
        <v>200</v>
      </c>
      <c r="C760" s="22">
        <v>4500</v>
      </c>
      <c r="D760" s="22">
        <v>6.2</v>
      </c>
    </row>
    <row r="761" spans="1:4" x14ac:dyDescent="0.3">
      <c r="A761" s="22">
        <v>128</v>
      </c>
      <c r="B761" s="22">
        <v>200</v>
      </c>
      <c r="C761" s="22">
        <v>5000</v>
      </c>
      <c r="D761" s="22">
        <v>7.2</v>
      </c>
    </row>
    <row r="762" spans="1:4" x14ac:dyDescent="0.3">
      <c r="A762" s="22">
        <v>128</v>
      </c>
      <c r="B762" s="22">
        <v>48</v>
      </c>
      <c r="C762" s="22">
        <v>4500</v>
      </c>
      <c r="D762" s="22">
        <v>5.6</v>
      </c>
    </row>
    <row r="763" spans="1:4" x14ac:dyDescent="0.3">
      <c r="A763" s="22">
        <v>512</v>
      </c>
      <c r="B763" s="22">
        <v>48</v>
      </c>
      <c r="C763" s="22">
        <v>4000</v>
      </c>
      <c r="D763" s="22">
        <v>6.7</v>
      </c>
    </row>
    <row r="764" spans="1:4" x14ac:dyDescent="0.3">
      <c r="A764" s="22">
        <v>256</v>
      </c>
      <c r="B764" s="22">
        <v>64</v>
      </c>
      <c r="C764" s="22">
        <v>6000</v>
      </c>
      <c r="D764" s="22">
        <v>6.4</v>
      </c>
    </row>
    <row r="765" spans="1:4" x14ac:dyDescent="0.3">
      <c r="A765" s="22">
        <v>256</v>
      </c>
      <c r="B765" s="22">
        <v>12</v>
      </c>
      <c r="C765" s="22">
        <v>6000</v>
      </c>
      <c r="D765" s="22">
        <v>6.1</v>
      </c>
    </row>
    <row r="766" spans="1:4" x14ac:dyDescent="0.3">
      <c r="A766" s="22">
        <v>128</v>
      </c>
      <c r="B766" s="22">
        <v>12</v>
      </c>
      <c r="C766" s="22">
        <v>5500</v>
      </c>
      <c r="D766" s="22">
        <v>6.1</v>
      </c>
    </row>
    <row r="767" spans="1:4" x14ac:dyDescent="0.3">
      <c r="A767" s="22">
        <v>128</v>
      </c>
      <c r="B767" s="22">
        <v>50</v>
      </c>
      <c r="C767" s="22">
        <v>5500</v>
      </c>
      <c r="D767" s="22">
        <v>5.5</v>
      </c>
    </row>
    <row r="768" spans="1:4" x14ac:dyDescent="0.3">
      <c r="A768" s="22">
        <v>256</v>
      </c>
      <c r="B768" s="22">
        <v>12</v>
      </c>
      <c r="C768" s="22">
        <v>4000</v>
      </c>
      <c r="D768" s="22">
        <v>6.2</v>
      </c>
    </row>
    <row r="769" spans="1:4" x14ac:dyDescent="0.3">
      <c r="A769" s="22">
        <v>512</v>
      </c>
      <c r="B769" s="22">
        <v>50</v>
      </c>
      <c r="C769" s="22">
        <v>4500</v>
      </c>
      <c r="D769" s="22">
        <v>6.9</v>
      </c>
    </row>
    <row r="770" spans="1:4" x14ac:dyDescent="0.3">
      <c r="A770" s="22">
        <v>64</v>
      </c>
      <c r="B770" s="22">
        <v>64</v>
      </c>
      <c r="C770" s="22">
        <v>5500</v>
      </c>
      <c r="D770" s="22">
        <v>6.3</v>
      </c>
    </row>
    <row r="771" spans="1:4" x14ac:dyDescent="0.3">
      <c r="A771" s="22">
        <v>256</v>
      </c>
      <c r="B771" s="22">
        <v>12</v>
      </c>
      <c r="C771" s="22">
        <v>6000</v>
      </c>
      <c r="D771" s="22">
        <v>6.1</v>
      </c>
    </row>
    <row r="772" spans="1:4" x14ac:dyDescent="0.3">
      <c r="A772" s="22">
        <v>128</v>
      </c>
      <c r="B772" s="22">
        <v>200</v>
      </c>
      <c r="C772" s="22">
        <v>4500</v>
      </c>
      <c r="D772" s="22">
        <v>6.4</v>
      </c>
    </row>
    <row r="773" spans="1:4" x14ac:dyDescent="0.3">
      <c r="A773" s="22">
        <v>64</v>
      </c>
      <c r="B773" s="22">
        <v>200</v>
      </c>
      <c r="C773" s="22">
        <v>4000</v>
      </c>
      <c r="D773" s="22">
        <v>6.6</v>
      </c>
    </row>
    <row r="774" spans="1:4" x14ac:dyDescent="0.3">
      <c r="A774" s="22">
        <v>64</v>
      </c>
      <c r="B774" s="22">
        <v>48</v>
      </c>
      <c r="C774" s="22">
        <v>5000</v>
      </c>
      <c r="D774" s="22">
        <v>6</v>
      </c>
    </row>
    <row r="775" spans="1:4" x14ac:dyDescent="0.3">
      <c r="A775" s="22">
        <v>512</v>
      </c>
      <c r="B775" s="22">
        <v>200</v>
      </c>
      <c r="C775" s="22">
        <v>4000</v>
      </c>
      <c r="D775" s="22">
        <v>6.7</v>
      </c>
    </row>
    <row r="776" spans="1:4" x14ac:dyDescent="0.3">
      <c r="A776" s="22">
        <v>512</v>
      </c>
      <c r="B776" s="22">
        <v>12</v>
      </c>
      <c r="C776" s="22">
        <v>4500</v>
      </c>
      <c r="D776" s="22">
        <v>6.8</v>
      </c>
    </row>
    <row r="777" spans="1:4" x14ac:dyDescent="0.3">
      <c r="A777" s="22">
        <v>64</v>
      </c>
      <c r="B777" s="22">
        <v>50</v>
      </c>
      <c r="C777" s="22">
        <v>5500</v>
      </c>
      <c r="D777" s="22">
        <v>6.7</v>
      </c>
    </row>
    <row r="778" spans="1:4" x14ac:dyDescent="0.3">
      <c r="A778" s="22">
        <v>512</v>
      </c>
      <c r="B778" s="22">
        <v>108</v>
      </c>
      <c r="C778" s="22">
        <v>5500</v>
      </c>
      <c r="D778" s="22">
        <v>5.9</v>
      </c>
    </row>
    <row r="779" spans="1:4" x14ac:dyDescent="0.3">
      <c r="A779" s="22">
        <v>64</v>
      </c>
      <c r="B779" s="22">
        <v>50</v>
      </c>
      <c r="C779" s="22">
        <v>5000</v>
      </c>
      <c r="D779" s="22">
        <v>6.2</v>
      </c>
    </row>
    <row r="780" spans="1:4" x14ac:dyDescent="0.3">
      <c r="A780" s="22">
        <v>256</v>
      </c>
      <c r="B780" s="22">
        <v>12</v>
      </c>
      <c r="C780" s="22">
        <v>4500</v>
      </c>
      <c r="D780" s="22">
        <v>5.9</v>
      </c>
    </row>
    <row r="781" spans="1:4" x14ac:dyDescent="0.3">
      <c r="A781" s="22">
        <v>256</v>
      </c>
      <c r="B781" s="22">
        <v>48</v>
      </c>
      <c r="C781" s="22">
        <v>5000</v>
      </c>
      <c r="D781" s="22">
        <v>6.8</v>
      </c>
    </row>
    <row r="782" spans="1:4" x14ac:dyDescent="0.3">
      <c r="A782" s="22">
        <v>64</v>
      </c>
      <c r="B782" s="22">
        <v>64</v>
      </c>
      <c r="C782" s="22">
        <v>4500</v>
      </c>
      <c r="D782" s="22">
        <v>6</v>
      </c>
    </row>
    <row r="783" spans="1:4" x14ac:dyDescent="0.3">
      <c r="A783" s="22">
        <v>512</v>
      </c>
      <c r="B783" s="22">
        <v>12</v>
      </c>
      <c r="C783" s="22">
        <v>5500</v>
      </c>
      <c r="D783" s="22">
        <v>5.7</v>
      </c>
    </row>
    <row r="784" spans="1:4" x14ac:dyDescent="0.3">
      <c r="A784" s="22">
        <v>1024</v>
      </c>
      <c r="B784" s="22">
        <v>50</v>
      </c>
      <c r="C784" s="22">
        <v>5000</v>
      </c>
      <c r="D784" s="22">
        <v>6.3</v>
      </c>
    </row>
    <row r="785" spans="1:4" x14ac:dyDescent="0.3">
      <c r="A785" s="22">
        <v>512</v>
      </c>
      <c r="B785" s="22">
        <v>48</v>
      </c>
      <c r="C785" s="22">
        <v>4500</v>
      </c>
      <c r="D785" s="22">
        <v>7</v>
      </c>
    </row>
    <row r="786" spans="1:4" x14ac:dyDescent="0.3">
      <c r="A786" s="22">
        <v>512</v>
      </c>
      <c r="B786" s="22">
        <v>12</v>
      </c>
      <c r="C786" s="22">
        <v>5500</v>
      </c>
      <c r="D786" s="22">
        <v>5.9</v>
      </c>
    </row>
    <row r="787" spans="1:4" x14ac:dyDescent="0.3">
      <c r="A787" s="22">
        <v>1024</v>
      </c>
      <c r="B787" s="22">
        <v>48</v>
      </c>
      <c r="C787" s="22">
        <v>4000</v>
      </c>
      <c r="D787" s="22">
        <v>6.4</v>
      </c>
    </row>
    <row r="788" spans="1:4" x14ac:dyDescent="0.3">
      <c r="A788" s="22">
        <v>256</v>
      </c>
      <c r="B788" s="22">
        <v>48</v>
      </c>
      <c r="C788" s="22">
        <v>5500</v>
      </c>
      <c r="D788" s="22">
        <v>6.8</v>
      </c>
    </row>
    <row r="789" spans="1:4" x14ac:dyDescent="0.3">
      <c r="A789" s="22">
        <v>64</v>
      </c>
      <c r="B789" s="22">
        <v>48</v>
      </c>
      <c r="C789" s="22">
        <v>5000</v>
      </c>
      <c r="D789" s="22">
        <v>6</v>
      </c>
    </row>
    <row r="790" spans="1:4" x14ac:dyDescent="0.3">
      <c r="A790" s="22">
        <v>1024</v>
      </c>
      <c r="B790" s="22">
        <v>108</v>
      </c>
      <c r="C790" s="22">
        <v>4000</v>
      </c>
      <c r="D790" s="22">
        <v>6</v>
      </c>
    </row>
    <row r="791" spans="1:4" x14ac:dyDescent="0.3">
      <c r="A791" s="22">
        <v>1024</v>
      </c>
      <c r="B791" s="22">
        <v>64</v>
      </c>
      <c r="C791" s="22">
        <v>5500</v>
      </c>
      <c r="D791" s="22">
        <v>6.4</v>
      </c>
    </row>
    <row r="792" spans="1:4" x14ac:dyDescent="0.3">
      <c r="A792" s="22">
        <v>64</v>
      </c>
      <c r="B792" s="22">
        <v>48</v>
      </c>
      <c r="C792" s="22">
        <v>5000</v>
      </c>
      <c r="D792" s="22">
        <v>6.3</v>
      </c>
    </row>
    <row r="793" spans="1:4" x14ac:dyDescent="0.3">
      <c r="A793" s="22">
        <v>128</v>
      </c>
      <c r="B793" s="22">
        <v>200</v>
      </c>
      <c r="C793" s="22">
        <v>4000</v>
      </c>
      <c r="D793" s="22">
        <v>5.6</v>
      </c>
    </row>
    <row r="794" spans="1:4" x14ac:dyDescent="0.3">
      <c r="A794" s="22">
        <v>128</v>
      </c>
      <c r="B794" s="22">
        <v>50</v>
      </c>
      <c r="C794" s="22">
        <v>6000</v>
      </c>
      <c r="D794" s="22">
        <v>6.5</v>
      </c>
    </row>
    <row r="795" spans="1:4" x14ac:dyDescent="0.3">
      <c r="A795" s="22">
        <v>128</v>
      </c>
      <c r="B795" s="22">
        <v>12</v>
      </c>
      <c r="C795" s="22">
        <v>4000</v>
      </c>
      <c r="D795" s="22">
        <v>5.7</v>
      </c>
    </row>
    <row r="796" spans="1:4" x14ac:dyDescent="0.3">
      <c r="A796" s="22">
        <v>512</v>
      </c>
      <c r="B796" s="22">
        <v>48</v>
      </c>
      <c r="C796" s="22">
        <v>4000</v>
      </c>
      <c r="D796" s="22">
        <v>6.2</v>
      </c>
    </row>
    <row r="797" spans="1:4" x14ac:dyDescent="0.3">
      <c r="A797" s="22">
        <v>64</v>
      </c>
      <c r="B797" s="22">
        <v>108</v>
      </c>
      <c r="C797" s="22">
        <v>6000</v>
      </c>
      <c r="D797" s="22">
        <v>7.1</v>
      </c>
    </row>
    <row r="798" spans="1:4" x14ac:dyDescent="0.3">
      <c r="A798" s="22">
        <v>128</v>
      </c>
      <c r="B798" s="22">
        <v>64</v>
      </c>
      <c r="C798" s="22">
        <v>6000</v>
      </c>
      <c r="D798" s="22">
        <v>5.6</v>
      </c>
    </row>
    <row r="799" spans="1:4" x14ac:dyDescent="0.3">
      <c r="A799" s="22">
        <v>1024</v>
      </c>
      <c r="B799" s="22">
        <v>64</v>
      </c>
      <c r="C799" s="22">
        <v>5000</v>
      </c>
      <c r="D799" s="22">
        <v>7.2</v>
      </c>
    </row>
    <row r="800" spans="1:4" x14ac:dyDescent="0.3">
      <c r="A800" s="22">
        <v>128</v>
      </c>
      <c r="B800" s="22">
        <v>108</v>
      </c>
      <c r="C800" s="22">
        <v>5500</v>
      </c>
      <c r="D800" s="22">
        <v>6.4</v>
      </c>
    </row>
    <row r="801" spans="1:4" x14ac:dyDescent="0.3">
      <c r="A801" s="22">
        <v>512</v>
      </c>
      <c r="B801" s="22">
        <v>108</v>
      </c>
      <c r="C801" s="22">
        <v>5500</v>
      </c>
      <c r="D801" s="22">
        <v>6.6</v>
      </c>
    </row>
    <row r="802" spans="1:4" x14ac:dyDescent="0.3">
      <c r="A802" s="22">
        <v>1024</v>
      </c>
      <c r="B802" s="22">
        <v>12</v>
      </c>
      <c r="C802" s="22">
        <v>5000</v>
      </c>
      <c r="D802" s="22">
        <v>5.6</v>
      </c>
    </row>
    <row r="803" spans="1:4" x14ac:dyDescent="0.3">
      <c r="A803" s="22">
        <v>512</v>
      </c>
      <c r="B803" s="22">
        <v>108</v>
      </c>
      <c r="C803" s="22">
        <v>6000</v>
      </c>
      <c r="D803" s="22">
        <v>5.6</v>
      </c>
    </row>
    <row r="804" spans="1:4" x14ac:dyDescent="0.3">
      <c r="A804" s="22">
        <v>256</v>
      </c>
      <c r="B804" s="22">
        <v>50</v>
      </c>
      <c r="C804" s="22">
        <v>5000</v>
      </c>
      <c r="D804" s="22">
        <v>6.2</v>
      </c>
    </row>
    <row r="805" spans="1:4" x14ac:dyDescent="0.3">
      <c r="A805" s="22">
        <v>1024</v>
      </c>
      <c r="B805" s="22">
        <v>108</v>
      </c>
      <c r="C805" s="22">
        <v>6000</v>
      </c>
      <c r="D805" s="22">
        <v>6.1</v>
      </c>
    </row>
    <row r="806" spans="1:4" x14ac:dyDescent="0.3">
      <c r="A806" s="22">
        <v>128</v>
      </c>
      <c r="B806" s="22">
        <v>48</v>
      </c>
      <c r="C806" s="22">
        <v>6000</v>
      </c>
      <c r="D806" s="22">
        <v>6.6</v>
      </c>
    </row>
    <row r="807" spans="1:4" x14ac:dyDescent="0.3">
      <c r="A807" s="22">
        <v>128</v>
      </c>
      <c r="B807" s="22">
        <v>200</v>
      </c>
      <c r="C807" s="22">
        <v>4000</v>
      </c>
      <c r="D807" s="22">
        <v>6.7</v>
      </c>
    </row>
    <row r="808" spans="1:4" x14ac:dyDescent="0.3">
      <c r="A808" s="22">
        <v>64</v>
      </c>
      <c r="B808" s="22">
        <v>50</v>
      </c>
      <c r="C808" s="22">
        <v>4000</v>
      </c>
      <c r="D808" s="22">
        <v>6.9</v>
      </c>
    </row>
    <row r="809" spans="1:4" x14ac:dyDescent="0.3">
      <c r="A809" s="22">
        <v>64</v>
      </c>
      <c r="B809" s="22">
        <v>200</v>
      </c>
      <c r="C809" s="22">
        <v>5000</v>
      </c>
      <c r="D809" s="22">
        <v>6.6</v>
      </c>
    </row>
    <row r="810" spans="1:4" x14ac:dyDescent="0.3">
      <c r="A810" s="22">
        <v>512</v>
      </c>
      <c r="B810" s="22">
        <v>50</v>
      </c>
      <c r="C810" s="22">
        <v>5500</v>
      </c>
      <c r="D810" s="22">
        <v>6</v>
      </c>
    </row>
    <row r="811" spans="1:4" x14ac:dyDescent="0.3">
      <c r="A811" s="22">
        <v>512</v>
      </c>
      <c r="B811" s="22">
        <v>50</v>
      </c>
      <c r="C811" s="22">
        <v>5000</v>
      </c>
      <c r="D811" s="22">
        <v>7.1</v>
      </c>
    </row>
    <row r="812" spans="1:4" x14ac:dyDescent="0.3">
      <c r="A812" s="22">
        <v>1024</v>
      </c>
      <c r="B812" s="22">
        <v>200</v>
      </c>
      <c r="C812" s="22">
        <v>4500</v>
      </c>
      <c r="D812" s="22">
        <v>5.8</v>
      </c>
    </row>
    <row r="813" spans="1:4" x14ac:dyDescent="0.3">
      <c r="A813" s="22">
        <v>1024</v>
      </c>
      <c r="B813" s="22">
        <v>108</v>
      </c>
      <c r="C813" s="22">
        <v>5000</v>
      </c>
      <c r="D813" s="22">
        <v>5.9</v>
      </c>
    </row>
    <row r="814" spans="1:4" x14ac:dyDescent="0.3">
      <c r="A814" s="22">
        <v>64</v>
      </c>
      <c r="B814" s="22">
        <v>108</v>
      </c>
      <c r="C814" s="22">
        <v>4500</v>
      </c>
      <c r="D814" s="22">
        <v>6.4</v>
      </c>
    </row>
    <row r="815" spans="1:4" x14ac:dyDescent="0.3">
      <c r="A815" s="22">
        <v>512</v>
      </c>
      <c r="B815" s="22">
        <v>50</v>
      </c>
      <c r="C815" s="22">
        <v>5500</v>
      </c>
      <c r="D815" s="22">
        <v>6.3</v>
      </c>
    </row>
    <row r="816" spans="1:4" x14ac:dyDescent="0.3">
      <c r="A816" s="22">
        <v>512</v>
      </c>
      <c r="B816" s="22">
        <v>64</v>
      </c>
      <c r="C816" s="22">
        <v>5500</v>
      </c>
      <c r="D816" s="22">
        <v>6.5</v>
      </c>
    </row>
    <row r="817" spans="1:4" x14ac:dyDescent="0.3">
      <c r="A817" s="22">
        <v>512</v>
      </c>
      <c r="B817" s="22">
        <v>108</v>
      </c>
      <c r="C817" s="22">
        <v>5000</v>
      </c>
      <c r="D817" s="22">
        <v>6.7</v>
      </c>
    </row>
    <row r="818" spans="1:4" x14ac:dyDescent="0.3">
      <c r="A818" s="22">
        <v>64</v>
      </c>
      <c r="B818" s="22">
        <v>64</v>
      </c>
      <c r="C818" s="22">
        <v>6000</v>
      </c>
      <c r="D818" s="22">
        <v>6.7</v>
      </c>
    </row>
    <row r="819" spans="1:4" x14ac:dyDescent="0.3">
      <c r="A819" s="22">
        <v>64</v>
      </c>
      <c r="B819" s="22">
        <v>48</v>
      </c>
      <c r="C819" s="22">
        <v>5500</v>
      </c>
      <c r="D819" s="22">
        <v>6.7</v>
      </c>
    </row>
    <row r="820" spans="1:4" x14ac:dyDescent="0.3">
      <c r="A820" s="22">
        <v>512</v>
      </c>
      <c r="B820" s="22">
        <v>12</v>
      </c>
      <c r="C820" s="22">
        <v>4000</v>
      </c>
      <c r="D820" s="22">
        <v>5.7</v>
      </c>
    </row>
    <row r="821" spans="1:4" x14ac:dyDescent="0.3">
      <c r="A821" s="22">
        <v>1024</v>
      </c>
      <c r="B821" s="22">
        <v>64</v>
      </c>
      <c r="C821" s="22">
        <v>4000</v>
      </c>
      <c r="D821" s="22">
        <v>6.8</v>
      </c>
    </row>
    <row r="822" spans="1:4" x14ac:dyDescent="0.3">
      <c r="A822" s="22">
        <v>256</v>
      </c>
      <c r="B822" s="22">
        <v>64</v>
      </c>
      <c r="C822" s="22">
        <v>4000</v>
      </c>
      <c r="D822" s="22">
        <v>5.8</v>
      </c>
    </row>
    <row r="823" spans="1:4" x14ac:dyDescent="0.3">
      <c r="A823" s="22">
        <v>1024</v>
      </c>
      <c r="B823" s="22">
        <v>50</v>
      </c>
      <c r="C823" s="22">
        <v>4500</v>
      </c>
      <c r="D823" s="22">
        <v>5.9</v>
      </c>
    </row>
    <row r="824" spans="1:4" x14ac:dyDescent="0.3">
      <c r="A824" s="22">
        <v>256</v>
      </c>
      <c r="B824" s="22">
        <v>108</v>
      </c>
      <c r="C824" s="22">
        <v>5500</v>
      </c>
      <c r="D824" s="22">
        <v>6.4</v>
      </c>
    </row>
    <row r="825" spans="1:4" x14ac:dyDescent="0.3">
      <c r="A825" s="22">
        <v>512</v>
      </c>
      <c r="B825" s="22">
        <v>48</v>
      </c>
      <c r="C825" s="22">
        <v>6000</v>
      </c>
      <c r="D825" s="22">
        <v>7.1</v>
      </c>
    </row>
    <row r="826" spans="1:4" x14ac:dyDescent="0.3">
      <c r="A826" s="22">
        <v>64</v>
      </c>
      <c r="B826" s="22">
        <v>108</v>
      </c>
      <c r="C826" s="22">
        <v>5000</v>
      </c>
      <c r="D826" s="22">
        <v>7</v>
      </c>
    </row>
    <row r="827" spans="1:4" x14ac:dyDescent="0.3">
      <c r="A827" s="22">
        <v>128</v>
      </c>
      <c r="B827" s="22">
        <v>200</v>
      </c>
      <c r="C827" s="22">
        <v>5000</v>
      </c>
      <c r="D827" s="22">
        <v>6.5</v>
      </c>
    </row>
    <row r="828" spans="1:4" x14ac:dyDescent="0.3">
      <c r="A828" s="22">
        <v>1024</v>
      </c>
      <c r="B828" s="22">
        <v>64</v>
      </c>
      <c r="C828" s="22">
        <v>6000</v>
      </c>
      <c r="D828" s="22">
        <v>5.5</v>
      </c>
    </row>
    <row r="829" spans="1:4" x14ac:dyDescent="0.3">
      <c r="A829" s="22">
        <v>64</v>
      </c>
      <c r="B829" s="22">
        <v>12</v>
      </c>
      <c r="C829" s="22">
        <v>4500</v>
      </c>
      <c r="D829" s="22">
        <v>6.9</v>
      </c>
    </row>
    <row r="830" spans="1:4" x14ac:dyDescent="0.3">
      <c r="A830" s="22">
        <v>128</v>
      </c>
      <c r="B830" s="22">
        <v>64</v>
      </c>
      <c r="C830" s="22">
        <v>5000</v>
      </c>
      <c r="D830" s="22">
        <v>6.6</v>
      </c>
    </row>
    <row r="831" spans="1:4" x14ac:dyDescent="0.3">
      <c r="A831" s="22">
        <v>1024</v>
      </c>
      <c r="B831" s="22">
        <v>200</v>
      </c>
      <c r="C831" s="22">
        <v>5000</v>
      </c>
      <c r="D831" s="22">
        <v>6.6</v>
      </c>
    </row>
    <row r="832" spans="1:4" x14ac:dyDescent="0.3">
      <c r="A832" s="22">
        <v>64</v>
      </c>
      <c r="B832" s="22">
        <v>200</v>
      </c>
      <c r="C832" s="22">
        <v>5500</v>
      </c>
      <c r="D832" s="22">
        <v>7</v>
      </c>
    </row>
    <row r="833" spans="1:4" x14ac:dyDescent="0.3">
      <c r="A833" s="22">
        <v>64</v>
      </c>
      <c r="B833" s="22">
        <v>50</v>
      </c>
      <c r="C833" s="22">
        <v>4000</v>
      </c>
      <c r="D833" s="22">
        <v>5.9</v>
      </c>
    </row>
    <row r="834" spans="1:4" x14ac:dyDescent="0.3">
      <c r="A834" s="22">
        <v>512</v>
      </c>
      <c r="B834" s="22">
        <v>50</v>
      </c>
      <c r="C834" s="22">
        <v>4000</v>
      </c>
      <c r="D834" s="22">
        <v>6.3</v>
      </c>
    </row>
    <row r="835" spans="1:4" x14ac:dyDescent="0.3">
      <c r="A835" s="22">
        <v>64</v>
      </c>
      <c r="B835" s="22">
        <v>48</v>
      </c>
      <c r="C835" s="22">
        <v>5000</v>
      </c>
      <c r="D835" s="22">
        <v>6</v>
      </c>
    </row>
    <row r="836" spans="1:4" x14ac:dyDescent="0.3">
      <c r="A836" s="22">
        <v>1024</v>
      </c>
      <c r="B836" s="22">
        <v>12</v>
      </c>
      <c r="C836" s="22">
        <v>5500</v>
      </c>
      <c r="D836" s="22">
        <v>5.8</v>
      </c>
    </row>
    <row r="837" spans="1:4" x14ac:dyDescent="0.3">
      <c r="A837" s="22">
        <v>256</v>
      </c>
      <c r="B837" s="22">
        <v>64</v>
      </c>
      <c r="C837" s="22">
        <v>6000</v>
      </c>
      <c r="D837" s="22">
        <v>6.4</v>
      </c>
    </row>
    <row r="838" spans="1:4" x14ac:dyDescent="0.3">
      <c r="A838" s="22">
        <v>256</v>
      </c>
      <c r="B838" s="22">
        <v>108</v>
      </c>
      <c r="C838" s="22">
        <v>6000</v>
      </c>
      <c r="D838" s="22">
        <v>6.8</v>
      </c>
    </row>
    <row r="839" spans="1:4" x14ac:dyDescent="0.3">
      <c r="A839" s="22">
        <v>1024</v>
      </c>
      <c r="B839" s="22">
        <v>64</v>
      </c>
      <c r="C839" s="22">
        <v>4500</v>
      </c>
      <c r="D839" s="22">
        <v>6.8</v>
      </c>
    </row>
    <row r="840" spans="1:4" x14ac:dyDescent="0.3">
      <c r="A840" s="22">
        <v>512</v>
      </c>
      <c r="B840" s="22">
        <v>48</v>
      </c>
      <c r="C840" s="22">
        <v>5500</v>
      </c>
      <c r="D840" s="22">
        <v>7</v>
      </c>
    </row>
    <row r="841" spans="1:4" x14ac:dyDescent="0.3">
      <c r="A841" s="22">
        <v>64</v>
      </c>
      <c r="B841" s="22">
        <v>108</v>
      </c>
      <c r="C841" s="22">
        <v>5000</v>
      </c>
      <c r="D841" s="22">
        <v>6.6</v>
      </c>
    </row>
    <row r="842" spans="1:4" x14ac:dyDescent="0.3">
      <c r="A842" s="22">
        <v>512</v>
      </c>
      <c r="B842" s="22">
        <v>48</v>
      </c>
      <c r="C842" s="22">
        <v>5500</v>
      </c>
      <c r="D842" s="22">
        <v>6.3</v>
      </c>
    </row>
    <row r="843" spans="1:4" x14ac:dyDescent="0.3">
      <c r="A843" s="22">
        <v>256</v>
      </c>
      <c r="B843" s="22">
        <v>64</v>
      </c>
      <c r="C843" s="22">
        <v>4000</v>
      </c>
      <c r="D843" s="22">
        <v>5.5</v>
      </c>
    </row>
    <row r="844" spans="1:4" x14ac:dyDescent="0.3">
      <c r="A844" s="22">
        <v>64</v>
      </c>
      <c r="B844" s="22">
        <v>50</v>
      </c>
      <c r="C844" s="22">
        <v>4500</v>
      </c>
      <c r="D844" s="22">
        <v>5.8</v>
      </c>
    </row>
    <row r="845" spans="1:4" x14ac:dyDescent="0.3">
      <c r="A845" s="22">
        <v>512</v>
      </c>
      <c r="B845" s="22">
        <v>108</v>
      </c>
      <c r="C845" s="22">
        <v>4500</v>
      </c>
      <c r="D845" s="22">
        <v>6.7</v>
      </c>
    </row>
    <row r="846" spans="1:4" x14ac:dyDescent="0.3">
      <c r="A846" s="22">
        <v>64</v>
      </c>
      <c r="B846" s="22">
        <v>48</v>
      </c>
      <c r="C846" s="22">
        <v>4500</v>
      </c>
      <c r="D846" s="22">
        <v>5.7</v>
      </c>
    </row>
    <row r="847" spans="1:4" x14ac:dyDescent="0.3">
      <c r="A847" s="22">
        <v>512</v>
      </c>
      <c r="B847" s="22">
        <v>200</v>
      </c>
      <c r="C847" s="22">
        <v>4000</v>
      </c>
      <c r="D847" s="22">
        <v>5.7</v>
      </c>
    </row>
    <row r="848" spans="1:4" x14ac:dyDescent="0.3">
      <c r="A848" s="22">
        <v>256</v>
      </c>
      <c r="B848" s="22">
        <v>64</v>
      </c>
      <c r="C848" s="22">
        <v>4000</v>
      </c>
      <c r="D848" s="22">
        <v>6.9</v>
      </c>
    </row>
    <row r="849" spans="1:4" x14ac:dyDescent="0.3">
      <c r="A849" s="22">
        <v>1024</v>
      </c>
      <c r="B849" s="22">
        <v>108</v>
      </c>
      <c r="C849" s="22">
        <v>4500</v>
      </c>
      <c r="D849" s="22">
        <v>6.6</v>
      </c>
    </row>
    <row r="850" spans="1:4" x14ac:dyDescent="0.3">
      <c r="A850" s="22">
        <v>128</v>
      </c>
      <c r="B850" s="22">
        <v>200</v>
      </c>
      <c r="C850" s="22">
        <v>5500</v>
      </c>
      <c r="D850" s="22">
        <v>6.7</v>
      </c>
    </row>
    <row r="851" spans="1:4" x14ac:dyDescent="0.3">
      <c r="A851" s="22">
        <v>512</v>
      </c>
      <c r="B851" s="22">
        <v>64</v>
      </c>
      <c r="C851" s="22">
        <v>5000</v>
      </c>
      <c r="D851" s="22">
        <v>7</v>
      </c>
    </row>
    <row r="852" spans="1:4" x14ac:dyDescent="0.3">
      <c r="A852" s="22">
        <v>512</v>
      </c>
      <c r="B852" s="22">
        <v>200</v>
      </c>
      <c r="C852" s="22">
        <v>4000</v>
      </c>
      <c r="D852" s="22">
        <v>6.6</v>
      </c>
    </row>
    <row r="853" spans="1:4" x14ac:dyDescent="0.3">
      <c r="A853" s="22">
        <v>512</v>
      </c>
      <c r="B853" s="22">
        <v>108</v>
      </c>
      <c r="C853" s="22">
        <v>5500</v>
      </c>
      <c r="D853" s="22">
        <v>6.6</v>
      </c>
    </row>
    <row r="854" spans="1:4" x14ac:dyDescent="0.3">
      <c r="A854" s="22">
        <v>256</v>
      </c>
      <c r="B854" s="22">
        <v>50</v>
      </c>
      <c r="C854" s="22">
        <v>5000</v>
      </c>
      <c r="D854" s="22">
        <v>6.4</v>
      </c>
    </row>
    <row r="855" spans="1:4" x14ac:dyDescent="0.3">
      <c r="A855" s="22">
        <v>256</v>
      </c>
      <c r="B855" s="22">
        <v>48</v>
      </c>
      <c r="C855" s="22">
        <v>4500</v>
      </c>
      <c r="D855" s="22">
        <v>5.6</v>
      </c>
    </row>
    <row r="856" spans="1:4" x14ac:dyDescent="0.3">
      <c r="A856" s="22">
        <v>512</v>
      </c>
      <c r="B856" s="22">
        <v>12</v>
      </c>
      <c r="C856" s="22">
        <v>4000</v>
      </c>
      <c r="D856" s="22">
        <v>6.6</v>
      </c>
    </row>
    <row r="857" spans="1:4" x14ac:dyDescent="0.3">
      <c r="A857" s="22">
        <v>512</v>
      </c>
      <c r="B857" s="22">
        <v>12</v>
      </c>
      <c r="C857" s="22">
        <v>4000</v>
      </c>
      <c r="D857" s="22">
        <v>6.5</v>
      </c>
    </row>
    <row r="858" spans="1:4" x14ac:dyDescent="0.3">
      <c r="A858" s="22">
        <v>512</v>
      </c>
      <c r="B858" s="22">
        <v>50</v>
      </c>
      <c r="C858" s="22">
        <v>5500</v>
      </c>
      <c r="D858" s="22">
        <v>6.2</v>
      </c>
    </row>
    <row r="859" spans="1:4" x14ac:dyDescent="0.3">
      <c r="A859" s="22">
        <v>64</v>
      </c>
      <c r="B859" s="22">
        <v>200</v>
      </c>
      <c r="C859" s="22">
        <v>4500</v>
      </c>
      <c r="D859" s="22">
        <v>6.4</v>
      </c>
    </row>
    <row r="860" spans="1:4" x14ac:dyDescent="0.3">
      <c r="A860" s="22">
        <v>64</v>
      </c>
      <c r="B860" s="22">
        <v>50</v>
      </c>
      <c r="C860" s="22">
        <v>4000</v>
      </c>
      <c r="D860" s="22">
        <v>6.9</v>
      </c>
    </row>
    <row r="861" spans="1:4" x14ac:dyDescent="0.3">
      <c r="A861" s="22">
        <v>256</v>
      </c>
      <c r="B861" s="22">
        <v>64</v>
      </c>
      <c r="C861" s="22">
        <v>4000</v>
      </c>
      <c r="D861" s="22">
        <v>7</v>
      </c>
    </row>
    <row r="862" spans="1:4" x14ac:dyDescent="0.3">
      <c r="A862" s="22">
        <v>256</v>
      </c>
      <c r="B862" s="22">
        <v>12</v>
      </c>
      <c r="C862" s="22">
        <v>6000</v>
      </c>
      <c r="D862" s="22">
        <v>5.8</v>
      </c>
    </row>
    <row r="863" spans="1:4" x14ac:dyDescent="0.3">
      <c r="A863" s="22">
        <v>1024</v>
      </c>
      <c r="B863" s="22">
        <v>200</v>
      </c>
      <c r="C863" s="22">
        <v>5500</v>
      </c>
      <c r="D863" s="22">
        <v>6.9</v>
      </c>
    </row>
    <row r="864" spans="1:4" x14ac:dyDescent="0.3">
      <c r="A864" s="22">
        <v>64</v>
      </c>
      <c r="B864" s="22">
        <v>12</v>
      </c>
      <c r="C864" s="22">
        <v>4000</v>
      </c>
      <c r="D864" s="22">
        <v>6</v>
      </c>
    </row>
    <row r="865" spans="1:4" x14ac:dyDescent="0.3">
      <c r="A865" s="22">
        <v>256</v>
      </c>
      <c r="B865" s="22">
        <v>12</v>
      </c>
      <c r="C865" s="22">
        <v>6000</v>
      </c>
      <c r="D865" s="22">
        <v>5.7</v>
      </c>
    </row>
    <row r="866" spans="1:4" x14ac:dyDescent="0.3">
      <c r="A866" s="22">
        <v>128</v>
      </c>
      <c r="B866" s="22">
        <v>48</v>
      </c>
      <c r="C866" s="22">
        <v>6000</v>
      </c>
      <c r="D866" s="22">
        <v>6.5</v>
      </c>
    </row>
    <row r="867" spans="1:4" x14ac:dyDescent="0.3">
      <c r="A867" s="22">
        <v>1024</v>
      </c>
      <c r="B867" s="22">
        <v>108</v>
      </c>
      <c r="C867" s="22">
        <v>5500</v>
      </c>
      <c r="D867" s="22">
        <v>5.9</v>
      </c>
    </row>
    <row r="868" spans="1:4" x14ac:dyDescent="0.3">
      <c r="A868" s="22">
        <v>128</v>
      </c>
      <c r="B868" s="22">
        <v>48</v>
      </c>
      <c r="C868" s="22">
        <v>5500</v>
      </c>
      <c r="D868" s="22">
        <v>6.3</v>
      </c>
    </row>
    <row r="869" spans="1:4" x14ac:dyDescent="0.3">
      <c r="A869" s="22">
        <v>128</v>
      </c>
      <c r="B869" s="22">
        <v>108</v>
      </c>
      <c r="C869" s="22">
        <v>4000</v>
      </c>
      <c r="D869" s="22">
        <v>6</v>
      </c>
    </row>
    <row r="870" spans="1:4" x14ac:dyDescent="0.3">
      <c r="A870" s="22">
        <v>256</v>
      </c>
      <c r="B870" s="22">
        <v>48</v>
      </c>
      <c r="C870" s="22">
        <v>6000</v>
      </c>
      <c r="D870" s="22">
        <v>6.6</v>
      </c>
    </row>
    <row r="871" spans="1:4" x14ac:dyDescent="0.3">
      <c r="A871" s="22">
        <v>128</v>
      </c>
      <c r="B871" s="22">
        <v>200</v>
      </c>
      <c r="C871" s="22">
        <v>4000</v>
      </c>
      <c r="D871" s="22">
        <v>5.9</v>
      </c>
    </row>
    <row r="872" spans="1:4" x14ac:dyDescent="0.3">
      <c r="A872" s="22">
        <v>512</v>
      </c>
      <c r="B872" s="22">
        <v>200</v>
      </c>
      <c r="C872" s="22">
        <v>4500</v>
      </c>
      <c r="D872" s="22">
        <v>6.2</v>
      </c>
    </row>
    <row r="873" spans="1:4" x14ac:dyDescent="0.3">
      <c r="A873" s="22">
        <v>64</v>
      </c>
      <c r="B873" s="22">
        <v>200</v>
      </c>
      <c r="C873" s="22">
        <v>4500</v>
      </c>
      <c r="D873" s="22">
        <v>6</v>
      </c>
    </row>
    <row r="874" spans="1:4" x14ac:dyDescent="0.3">
      <c r="A874" s="22">
        <v>512</v>
      </c>
      <c r="B874" s="22">
        <v>64</v>
      </c>
      <c r="C874" s="22">
        <v>5500</v>
      </c>
      <c r="D874" s="22">
        <v>7.2</v>
      </c>
    </row>
    <row r="875" spans="1:4" x14ac:dyDescent="0.3">
      <c r="A875" s="22">
        <v>1024</v>
      </c>
      <c r="B875" s="22">
        <v>64</v>
      </c>
      <c r="C875" s="22">
        <v>5000</v>
      </c>
      <c r="D875" s="22">
        <v>5.5</v>
      </c>
    </row>
    <row r="876" spans="1:4" x14ac:dyDescent="0.3">
      <c r="A876" s="22">
        <v>64</v>
      </c>
      <c r="B876" s="22">
        <v>50</v>
      </c>
      <c r="C876" s="22">
        <v>4500</v>
      </c>
      <c r="D876" s="22">
        <v>5.9</v>
      </c>
    </row>
    <row r="877" spans="1:4" x14ac:dyDescent="0.3">
      <c r="A877" s="22">
        <v>512</v>
      </c>
      <c r="B877" s="22">
        <v>200</v>
      </c>
      <c r="C877" s="22">
        <v>4500</v>
      </c>
      <c r="D877" s="22">
        <v>6.7</v>
      </c>
    </row>
    <row r="878" spans="1:4" x14ac:dyDescent="0.3">
      <c r="A878" s="22">
        <v>128</v>
      </c>
      <c r="B878" s="22">
        <v>50</v>
      </c>
      <c r="C878" s="22">
        <v>5000</v>
      </c>
      <c r="D878" s="22">
        <v>7.2</v>
      </c>
    </row>
    <row r="879" spans="1:4" x14ac:dyDescent="0.3">
      <c r="A879" s="22">
        <v>128</v>
      </c>
      <c r="B879" s="22">
        <v>12</v>
      </c>
      <c r="C879" s="22">
        <v>5500</v>
      </c>
      <c r="D879" s="22">
        <v>6.1</v>
      </c>
    </row>
    <row r="880" spans="1:4" x14ac:dyDescent="0.3">
      <c r="A880" s="22">
        <v>512</v>
      </c>
      <c r="B880" s="22">
        <v>12</v>
      </c>
      <c r="C880" s="22">
        <v>4500</v>
      </c>
      <c r="D880" s="22">
        <v>6.2</v>
      </c>
    </row>
    <row r="881" spans="1:4" x14ac:dyDescent="0.3">
      <c r="A881" s="22">
        <v>1024</v>
      </c>
      <c r="B881" s="22">
        <v>200</v>
      </c>
      <c r="C881" s="22">
        <v>5500</v>
      </c>
      <c r="D881" s="22">
        <v>5.9</v>
      </c>
    </row>
    <row r="882" spans="1:4" x14ac:dyDescent="0.3">
      <c r="A882" s="22">
        <v>1024</v>
      </c>
      <c r="B882" s="22">
        <v>108</v>
      </c>
      <c r="C882" s="22">
        <v>5500</v>
      </c>
      <c r="D882" s="22">
        <v>6.3</v>
      </c>
    </row>
    <row r="883" spans="1:4" x14ac:dyDescent="0.3">
      <c r="A883" s="22">
        <v>512</v>
      </c>
      <c r="B883" s="22">
        <v>200</v>
      </c>
      <c r="C883" s="22">
        <v>6000</v>
      </c>
      <c r="D883" s="22">
        <v>6.5</v>
      </c>
    </row>
    <row r="884" spans="1:4" x14ac:dyDescent="0.3">
      <c r="A884" s="22">
        <v>1024</v>
      </c>
      <c r="B884" s="22">
        <v>12</v>
      </c>
      <c r="C884" s="22">
        <v>5500</v>
      </c>
      <c r="D884" s="22">
        <v>5.7</v>
      </c>
    </row>
    <row r="885" spans="1:4" x14ac:dyDescent="0.3">
      <c r="A885" s="22">
        <v>1024</v>
      </c>
      <c r="B885" s="22">
        <v>50</v>
      </c>
      <c r="C885" s="22">
        <v>5000</v>
      </c>
      <c r="D885" s="22">
        <v>6.6</v>
      </c>
    </row>
    <row r="886" spans="1:4" x14ac:dyDescent="0.3">
      <c r="A886" s="22">
        <v>256</v>
      </c>
      <c r="B886" s="22">
        <v>64</v>
      </c>
      <c r="C886" s="22">
        <v>6000</v>
      </c>
      <c r="D886" s="22">
        <v>7</v>
      </c>
    </row>
    <row r="887" spans="1:4" x14ac:dyDescent="0.3">
      <c r="A887" s="22">
        <v>128</v>
      </c>
      <c r="B887" s="22">
        <v>12</v>
      </c>
      <c r="C887" s="22">
        <v>6000</v>
      </c>
      <c r="D887" s="22">
        <v>6</v>
      </c>
    </row>
    <row r="888" spans="1:4" x14ac:dyDescent="0.3">
      <c r="A888" s="22">
        <v>128</v>
      </c>
      <c r="B888" s="22">
        <v>50</v>
      </c>
      <c r="C888" s="22">
        <v>5000</v>
      </c>
      <c r="D888" s="22">
        <v>6.7</v>
      </c>
    </row>
    <row r="889" spans="1:4" x14ac:dyDescent="0.3">
      <c r="A889" s="22">
        <v>1024</v>
      </c>
      <c r="B889" s="22">
        <v>48</v>
      </c>
      <c r="C889" s="22">
        <v>5500</v>
      </c>
      <c r="D889" s="22">
        <v>6</v>
      </c>
    </row>
    <row r="890" spans="1:4" x14ac:dyDescent="0.3">
      <c r="A890" s="22">
        <v>1024</v>
      </c>
      <c r="B890" s="22">
        <v>50</v>
      </c>
      <c r="C890" s="22">
        <v>4000</v>
      </c>
      <c r="D890" s="22">
        <v>6.7</v>
      </c>
    </row>
    <row r="891" spans="1:4" x14ac:dyDescent="0.3">
      <c r="A891" s="22">
        <v>128</v>
      </c>
      <c r="B891" s="22">
        <v>50</v>
      </c>
      <c r="C891" s="22">
        <v>5500</v>
      </c>
      <c r="D891" s="22">
        <v>6.7</v>
      </c>
    </row>
    <row r="892" spans="1:4" x14ac:dyDescent="0.3">
      <c r="A892" s="22">
        <v>64</v>
      </c>
      <c r="B892" s="22">
        <v>12</v>
      </c>
      <c r="C892" s="22">
        <v>4000</v>
      </c>
      <c r="D892" s="22">
        <v>5.9</v>
      </c>
    </row>
    <row r="893" spans="1:4" x14ac:dyDescent="0.3">
      <c r="A893" s="22">
        <v>64</v>
      </c>
      <c r="B893" s="22">
        <v>50</v>
      </c>
      <c r="C893" s="22">
        <v>5500</v>
      </c>
      <c r="D893" s="22">
        <v>5.6</v>
      </c>
    </row>
    <row r="894" spans="1:4" x14ac:dyDescent="0.3">
      <c r="A894" s="22">
        <v>512</v>
      </c>
      <c r="B894" s="22">
        <v>48</v>
      </c>
      <c r="C894" s="22">
        <v>4000</v>
      </c>
      <c r="D894" s="22">
        <v>5.6</v>
      </c>
    </row>
    <row r="895" spans="1:4" x14ac:dyDescent="0.3">
      <c r="A895" s="22">
        <v>128</v>
      </c>
      <c r="B895" s="22">
        <v>64</v>
      </c>
      <c r="C895" s="22">
        <v>6000</v>
      </c>
      <c r="D895" s="22">
        <v>6.5</v>
      </c>
    </row>
    <row r="896" spans="1:4" x14ac:dyDescent="0.3">
      <c r="A896" s="22">
        <v>128</v>
      </c>
      <c r="B896" s="22">
        <v>64</v>
      </c>
      <c r="C896" s="22">
        <v>4500</v>
      </c>
      <c r="D896" s="22">
        <v>7</v>
      </c>
    </row>
    <row r="897" spans="1:4" x14ac:dyDescent="0.3">
      <c r="A897" s="22">
        <v>256</v>
      </c>
      <c r="B897" s="22">
        <v>48</v>
      </c>
      <c r="C897" s="22">
        <v>6000</v>
      </c>
      <c r="D897" s="22">
        <v>7</v>
      </c>
    </row>
    <row r="898" spans="1:4" x14ac:dyDescent="0.3">
      <c r="A898" s="22">
        <v>256</v>
      </c>
      <c r="B898" s="22">
        <v>108</v>
      </c>
      <c r="C898" s="22">
        <v>4000</v>
      </c>
      <c r="D898" s="22">
        <v>5.6</v>
      </c>
    </row>
    <row r="899" spans="1:4" x14ac:dyDescent="0.3">
      <c r="A899" s="22">
        <v>1024</v>
      </c>
      <c r="B899" s="22">
        <v>108</v>
      </c>
      <c r="C899" s="22">
        <v>5000</v>
      </c>
      <c r="D899" s="22">
        <v>5.9</v>
      </c>
    </row>
    <row r="900" spans="1:4" x14ac:dyDescent="0.3">
      <c r="A900" s="22">
        <v>1024</v>
      </c>
      <c r="B900" s="22">
        <v>200</v>
      </c>
      <c r="C900" s="22">
        <v>6000</v>
      </c>
      <c r="D900" s="22">
        <v>5.8</v>
      </c>
    </row>
    <row r="901" spans="1:4" x14ac:dyDescent="0.3">
      <c r="A901" s="22">
        <v>256</v>
      </c>
      <c r="B901" s="22">
        <v>200</v>
      </c>
      <c r="C901" s="22">
        <v>6000</v>
      </c>
      <c r="D901" s="22">
        <v>7</v>
      </c>
    </row>
    <row r="902" spans="1:4" x14ac:dyDescent="0.3">
      <c r="A902" s="22">
        <v>512</v>
      </c>
      <c r="B902" s="22">
        <v>48</v>
      </c>
      <c r="C902" s="22">
        <v>5500</v>
      </c>
      <c r="D902" s="22">
        <v>7</v>
      </c>
    </row>
    <row r="903" spans="1:4" x14ac:dyDescent="0.3">
      <c r="A903" s="22">
        <v>64</v>
      </c>
      <c r="B903" s="22">
        <v>48</v>
      </c>
      <c r="C903" s="22">
        <v>5500</v>
      </c>
      <c r="D903" s="22">
        <v>5.6</v>
      </c>
    </row>
    <row r="904" spans="1:4" x14ac:dyDescent="0.3">
      <c r="A904" s="22">
        <v>256</v>
      </c>
      <c r="B904" s="22">
        <v>200</v>
      </c>
      <c r="C904" s="22">
        <v>5500</v>
      </c>
      <c r="D904" s="22">
        <v>5.6</v>
      </c>
    </row>
    <row r="905" spans="1:4" x14ac:dyDescent="0.3">
      <c r="A905" s="22">
        <v>1024</v>
      </c>
      <c r="B905" s="22">
        <v>200</v>
      </c>
      <c r="C905" s="22">
        <v>5500</v>
      </c>
      <c r="D905" s="22">
        <v>7</v>
      </c>
    </row>
    <row r="906" spans="1:4" x14ac:dyDescent="0.3">
      <c r="A906" s="22">
        <v>256</v>
      </c>
      <c r="B906" s="22">
        <v>200</v>
      </c>
      <c r="C906" s="22">
        <v>4500</v>
      </c>
      <c r="D906" s="22">
        <v>7</v>
      </c>
    </row>
    <row r="907" spans="1:4" x14ac:dyDescent="0.3">
      <c r="A907" s="22">
        <v>64</v>
      </c>
      <c r="B907" s="22">
        <v>64</v>
      </c>
      <c r="C907" s="22">
        <v>5000</v>
      </c>
      <c r="D907" s="22">
        <v>6.8</v>
      </c>
    </row>
    <row r="908" spans="1:4" x14ac:dyDescent="0.3">
      <c r="A908" s="22">
        <v>64</v>
      </c>
      <c r="B908" s="22">
        <v>12</v>
      </c>
      <c r="C908" s="22">
        <v>6000</v>
      </c>
      <c r="D908" s="22">
        <v>6.4</v>
      </c>
    </row>
    <row r="909" spans="1:4" x14ac:dyDescent="0.3">
      <c r="A909" s="22">
        <v>1024</v>
      </c>
      <c r="B909" s="22">
        <v>108</v>
      </c>
      <c r="C909" s="22">
        <v>6000</v>
      </c>
      <c r="D909" s="22">
        <v>7.1</v>
      </c>
    </row>
    <row r="910" spans="1:4" x14ac:dyDescent="0.3">
      <c r="A910" s="22">
        <v>256</v>
      </c>
      <c r="B910" s="22">
        <v>200</v>
      </c>
      <c r="C910" s="22">
        <v>4000</v>
      </c>
      <c r="D910" s="22">
        <v>5.6</v>
      </c>
    </row>
    <row r="911" spans="1:4" x14ac:dyDescent="0.3">
      <c r="A911" s="22">
        <v>1024</v>
      </c>
      <c r="B911" s="22">
        <v>108</v>
      </c>
      <c r="C911" s="22">
        <v>4000</v>
      </c>
      <c r="D911" s="22">
        <v>6.5</v>
      </c>
    </row>
    <row r="912" spans="1:4" x14ac:dyDescent="0.3">
      <c r="A912" s="22">
        <v>256</v>
      </c>
      <c r="B912" s="22">
        <v>50</v>
      </c>
      <c r="C912" s="22">
        <v>5500</v>
      </c>
      <c r="D912" s="22">
        <v>6.9</v>
      </c>
    </row>
    <row r="913" spans="1:4" x14ac:dyDescent="0.3">
      <c r="A913" s="22">
        <v>128</v>
      </c>
      <c r="B913" s="22">
        <v>108</v>
      </c>
      <c r="C913" s="22">
        <v>4500</v>
      </c>
      <c r="D913" s="22">
        <v>7.1</v>
      </c>
    </row>
    <row r="914" spans="1:4" x14ac:dyDescent="0.3">
      <c r="A914" s="22">
        <v>1024</v>
      </c>
      <c r="B914" s="22">
        <v>12</v>
      </c>
      <c r="C914" s="22">
        <v>4500</v>
      </c>
      <c r="D914" s="22">
        <v>6.9</v>
      </c>
    </row>
    <row r="915" spans="1:4" x14ac:dyDescent="0.3">
      <c r="A915" s="22">
        <v>64</v>
      </c>
      <c r="B915" s="22">
        <v>48</v>
      </c>
      <c r="C915" s="22">
        <v>4000</v>
      </c>
      <c r="D915" s="22">
        <v>5.6</v>
      </c>
    </row>
    <row r="916" spans="1:4" x14ac:dyDescent="0.3">
      <c r="A916" s="22">
        <v>128</v>
      </c>
      <c r="B916" s="22">
        <v>48</v>
      </c>
      <c r="C916" s="22">
        <v>6000</v>
      </c>
      <c r="D916" s="22">
        <v>5.8</v>
      </c>
    </row>
    <row r="917" spans="1:4" x14ac:dyDescent="0.3">
      <c r="A917" s="22">
        <v>64</v>
      </c>
      <c r="B917" s="22">
        <v>50</v>
      </c>
      <c r="C917" s="22">
        <v>5500</v>
      </c>
      <c r="D917" s="22">
        <v>5.8</v>
      </c>
    </row>
    <row r="918" spans="1:4" x14ac:dyDescent="0.3">
      <c r="A918" s="22">
        <v>1024</v>
      </c>
      <c r="B918" s="22">
        <v>48</v>
      </c>
      <c r="C918" s="22">
        <v>4500</v>
      </c>
      <c r="D918" s="22">
        <v>6.9</v>
      </c>
    </row>
    <row r="919" spans="1:4" x14ac:dyDescent="0.3">
      <c r="A919" s="22">
        <v>1024</v>
      </c>
      <c r="B919" s="22">
        <v>48</v>
      </c>
      <c r="C919" s="22">
        <v>6000</v>
      </c>
      <c r="D919" s="22">
        <v>6.7</v>
      </c>
    </row>
    <row r="920" spans="1:4" x14ac:dyDescent="0.3">
      <c r="A920" s="22">
        <v>128</v>
      </c>
      <c r="B920" s="22">
        <v>50</v>
      </c>
      <c r="C920" s="22">
        <v>4500</v>
      </c>
      <c r="D920" s="22">
        <v>5.9</v>
      </c>
    </row>
    <row r="921" spans="1:4" x14ac:dyDescent="0.3">
      <c r="A921" s="22">
        <v>64</v>
      </c>
      <c r="B921" s="22">
        <v>64</v>
      </c>
      <c r="C921" s="22">
        <v>6000</v>
      </c>
      <c r="D921" s="22">
        <v>6</v>
      </c>
    </row>
    <row r="922" spans="1:4" x14ac:dyDescent="0.3">
      <c r="A922" s="22">
        <v>256</v>
      </c>
      <c r="B922" s="22">
        <v>64</v>
      </c>
      <c r="C922" s="22">
        <v>4500</v>
      </c>
      <c r="D922" s="22">
        <v>5.8</v>
      </c>
    </row>
    <row r="923" spans="1:4" x14ac:dyDescent="0.3">
      <c r="A923" s="22">
        <v>1024</v>
      </c>
      <c r="B923" s="22">
        <v>200</v>
      </c>
      <c r="C923" s="22">
        <v>4000</v>
      </c>
      <c r="D923" s="22">
        <v>7.1</v>
      </c>
    </row>
    <row r="924" spans="1:4" x14ac:dyDescent="0.3">
      <c r="A924" s="22">
        <v>256</v>
      </c>
      <c r="B924" s="22">
        <v>12</v>
      </c>
      <c r="C924" s="22">
        <v>4500</v>
      </c>
      <c r="D924" s="22">
        <v>6.1</v>
      </c>
    </row>
    <row r="925" spans="1:4" x14ac:dyDescent="0.3">
      <c r="A925" s="22">
        <v>1024</v>
      </c>
      <c r="B925" s="22">
        <v>50</v>
      </c>
      <c r="C925" s="22">
        <v>4000</v>
      </c>
      <c r="D925" s="22">
        <v>6.6</v>
      </c>
    </row>
    <row r="926" spans="1:4" x14ac:dyDescent="0.3">
      <c r="A926" s="22">
        <v>512</v>
      </c>
      <c r="B926" s="22">
        <v>50</v>
      </c>
      <c r="C926" s="22">
        <v>4000</v>
      </c>
      <c r="D926" s="22">
        <v>6.5</v>
      </c>
    </row>
    <row r="927" spans="1:4" x14ac:dyDescent="0.3">
      <c r="A927" s="22">
        <v>512</v>
      </c>
      <c r="B927" s="22">
        <v>200</v>
      </c>
      <c r="C927" s="22">
        <v>4500</v>
      </c>
      <c r="D927" s="22">
        <v>5.8</v>
      </c>
    </row>
    <row r="928" spans="1:4" x14ac:dyDescent="0.3">
      <c r="A928" s="22">
        <v>1024</v>
      </c>
      <c r="B928" s="22">
        <v>200</v>
      </c>
      <c r="C928" s="22">
        <v>5000</v>
      </c>
      <c r="D928" s="22">
        <v>7</v>
      </c>
    </row>
    <row r="929" spans="1:4" x14ac:dyDescent="0.3">
      <c r="A929" s="22">
        <v>512</v>
      </c>
      <c r="B929" s="22">
        <v>64</v>
      </c>
      <c r="C929" s="22">
        <v>6000</v>
      </c>
      <c r="D929" s="22">
        <v>6.9</v>
      </c>
    </row>
    <row r="930" spans="1:4" x14ac:dyDescent="0.3">
      <c r="A930" s="22">
        <v>1024</v>
      </c>
      <c r="B930" s="22">
        <v>48</v>
      </c>
      <c r="C930" s="22">
        <v>5500</v>
      </c>
      <c r="D930" s="22">
        <v>6.1</v>
      </c>
    </row>
    <row r="931" spans="1:4" x14ac:dyDescent="0.3">
      <c r="A931" s="22">
        <v>128</v>
      </c>
      <c r="B931" s="22">
        <v>64</v>
      </c>
      <c r="C931" s="22">
        <v>4000</v>
      </c>
      <c r="D931" s="22">
        <v>7.1</v>
      </c>
    </row>
    <row r="932" spans="1:4" x14ac:dyDescent="0.3">
      <c r="A932" s="22">
        <v>256</v>
      </c>
      <c r="B932" s="22">
        <v>12</v>
      </c>
      <c r="C932" s="22">
        <v>5000</v>
      </c>
      <c r="D932" s="22">
        <v>6.1</v>
      </c>
    </row>
    <row r="933" spans="1:4" x14ac:dyDescent="0.3">
      <c r="A933" s="22">
        <v>128</v>
      </c>
      <c r="B933" s="22">
        <v>12</v>
      </c>
      <c r="C933" s="22">
        <v>5500</v>
      </c>
      <c r="D933" s="22">
        <v>6.2</v>
      </c>
    </row>
    <row r="934" spans="1:4" x14ac:dyDescent="0.3">
      <c r="A934" s="22">
        <v>64</v>
      </c>
      <c r="B934" s="22">
        <v>48</v>
      </c>
      <c r="C934" s="22">
        <v>5500</v>
      </c>
      <c r="D934" s="22">
        <v>6</v>
      </c>
    </row>
    <row r="935" spans="1:4" x14ac:dyDescent="0.3">
      <c r="A935" s="22">
        <v>512</v>
      </c>
      <c r="B935" s="22">
        <v>48</v>
      </c>
      <c r="C935" s="22">
        <v>5000</v>
      </c>
      <c r="D935" s="22">
        <v>5.6</v>
      </c>
    </row>
    <row r="936" spans="1:4" x14ac:dyDescent="0.3">
      <c r="A936" s="22">
        <v>512</v>
      </c>
      <c r="B936" s="22">
        <v>200</v>
      </c>
      <c r="C936" s="22">
        <v>6000</v>
      </c>
      <c r="D936" s="22">
        <v>5.6</v>
      </c>
    </row>
    <row r="937" spans="1:4" x14ac:dyDescent="0.3">
      <c r="A937" s="22">
        <v>512</v>
      </c>
      <c r="B937" s="22">
        <v>12</v>
      </c>
      <c r="C937" s="22">
        <v>6000</v>
      </c>
      <c r="D937" s="22">
        <v>6.4</v>
      </c>
    </row>
    <row r="938" spans="1:4" x14ac:dyDescent="0.3">
      <c r="A938" s="22">
        <v>256</v>
      </c>
      <c r="B938" s="22">
        <v>200</v>
      </c>
      <c r="C938" s="22">
        <v>5000</v>
      </c>
      <c r="D938" s="22">
        <v>5.6</v>
      </c>
    </row>
    <row r="939" spans="1:4" x14ac:dyDescent="0.3">
      <c r="A939" s="22">
        <v>256</v>
      </c>
      <c r="B939" s="22">
        <v>64</v>
      </c>
      <c r="C939" s="22">
        <v>6000</v>
      </c>
      <c r="D939" s="22">
        <v>5.8</v>
      </c>
    </row>
    <row r="940" spans="1:4" x14ac:dyDescent="0.3">
      <c r="A940" s="22">
        <v>1024</v>
      </c>
      <c r="B940" s="22">
        <v>108</v>
      </c>
      <c r="C940" s="22">
        <v>4500</v>
      </c>
      <c r="D940" s="22">
        <v>6.5</v>
      </c>
    </row>
    <row r="941" spans="1:4" x14ac:dyDescent="0.3">
      <c r="A941" s="22">
        <v>256</v>
      </c>
      <c r="B941" s="22">
        <v>64</v>
      </c>
      <c r="C941" s="22">
        <v>5000</v>
      </c>
      <c r="D941" s="22">
        <v>6.6</v>
      </c>
    </row>
    <row r="942" spans="1:4" x14ac:dyDescent="0.3">
      <c r="A942" s="22">
        <v>64</v>
      </c>
      <c r="B942" s="22">
        <v>108</v>
      </c>
      <c r="C942" s="22">
        <v>5000</v>
      </c>
      <c r="D942" s="22">
        <v>6.6</v>
      </c>
    </row>
    <row r="943" spans="1:4" x14ac:dyDescent="0.3">
      <c r="A943" s="22">
        <v>128</v>
      </c>
      <c r="B943" s="22">
        <v>50</v>
      </c>
      <c r="C943" s="22">
        <v>5500</v>
      </c>
      <c r="D943" s="22">
        <v>7.1</v>
      </c>
    </row>
    <row r="944" spans="1:4" x14ac:dyDescent="0.3">
      <c r="A944" s="22">
        <v>128</v>
      </c>
      <c r="B944" s="22">
        <v>200</v>
      </c>
      <c r="C944" s="22">
        <v>5000</v>
      </c>
      <c r="D944" s="22">
        <v>6.9</v>
      </c>
    </row>
    <row r="945" spans="1:4" x14ac:dyDescent="0.3">
      <c r="A945" s="22">
        <v>256</v>
      </c>
      <c r="B945" s="22">
        <v>50</v>
      </c>
      <c r="C945" s="22">
        <v>6000</v>
      </c>
      <c r="D945" s="22">
        <v>6.7</v>
      </c>
    </row>
    <row r="946" spans="1:4" x14ac:dyDescent="0.3">
      <c r="A946" s="22">
        <v>64</v>
      </c>
      <c r="B946" s="22">
        <v>48</v>
      </c>
      <c r="C946" s="22">
        <v>6000</v>
      </c>
      <c r="D946" s="22">
        <v>6.1</v>
      </c>
    </row>
    <row r="947" spans="1:4" x14ac:dyDescent="0.3">
      <c r="A947" s="22">
        <v>1024</v>
      </c>
      <c r="B947" s="22">
        <v>50</v>
      </c>
      <c r="C947" s="22">
        <v>5000</v>
      </c>
      <c r="D947" s="22">
        <v>6.3</v>
      </c>
    </row>
    <row r="948" spans="1:4" x14ac:dyDescent="0.3">
      <c r="A948" s="22">
        <v>512</v>
      </c>
      <c r="B948" s="22">
        <v>200</v>
      </c>
      <c r="C948" s="22">
        <v>4000</v>
      </c>
      <c r="D948" s="22">
        <v>6.4</v>
      </c>
    </row>
    <row r="949" spans="1:4" x14ac:dyDescent="0.3">
      <c r="A949" s="22">
        <v>1024</v>
      </c>
      <c r="B949" s="22">
        <v>64</v>
      </c>
      <c r="C949" s="22">
        <v>4500</v>
      </c>
      <c r="D949" s="22">
        <v>5.8</v>
      </c>
    </row>
    <row r="950" spans="1:4" x14ac:dyDescent="0.3">
      <c r="A950" s="22">
        <v>512</v>
      </c>
      <c r="B950" s="22">
        <v>50</v>
      </c>
      <c r="C950" s="22">
        <v>5000</v>
      </c>
      <c r="D950" s="22">
        <v>6.2</v>
      </c>
    </row>
    <row r="951" spans="1:4" x14ac:dyDescent="0.3">
      <c r="A951" s="22">
        <v>128</v>
      </c>
      <c r="B951" s="22">
        <v>64</v>
      </c>
      <c r="C951" s="22">
        <v>6000</v>
      </c>
      <c r="D951" s="22">
        <v>7</v>
      </c>
    </row>
    <row r="952" spans="1:4" x14ac:dyDescent="0.3">
      <c r="A952" s="22">
        <v>128</v>
      </c>
      <c r="B952" s="22">
        <v>50</v>
      </c>
      <c r="C952" s="22">
        <v>4000</v>
      </c>
      <c r="D952" s="22">
        <v>6.8</v>
      </c>
    </row>
    <row r="953" spans="1:4" x14ac:dyDescent="0.3">
      <c r="A953" s="22">
        <v>256</v>
      </c>
      <c r="B953" s="22">
        <v>64</v>
      </c>
      <c r="C953" s="22">
        <v>4000</v>
      </c>
      <c r="D953" s="22">
        <v>6.1</v>
      </c>
    </row>
    <row r="954" spans="1:4" x14ac:dyDescent="0.3">
      <c r="A954" s="22">
        <v>256</v>
      </c>
      <c r="B954" s="22">
        <v>48</v>
      </c>
      <c r="C954" s="22">
        <v>5000</v>
      </c>
      <c r="D954" s="22">
        <v>6.6</v>
      </c>
    </row>
    <row r="955" spans="1:4" x14ac:dyDescent="0.3">
      <c r="A955" s="22">
        <v>256</v>
      </c>
      <c r="B955" s="22">
        <v>200</v>
      </c>
      <c r="C955" s="22">
        <v>6000</v>
      </c>
      <c r="D955" s="22">
        <v>6.9</v>
      </c>
    </row>
    <row r="956" spans="1:4" x14ac:dyDescent="0.3">
      <c r="A956" s="22">
        <v>128</v>
      </c>
      <c r="B956" s="22">
        <v>200</v>
      </c>
      <c r="C956" s="22">
        <v>4000</v>
      </c>
      <c r="D956" s="22">
        <v>7</v>
      </c>
    </row>
    <row r="957" spans="1:4" x14ac:dyDescent="0.3">
      <c r="A957" s="22">
        <v>128</v>
      </c>
      <c r="B957" s="22">
        <v>108</v>
      </c>
      <c r="C957" s="22">
        <v>4500</v>
      </c>
      <c r="D957" s="22">
        <v>6.5</v>
      </c>
    </row>
    <row r="958" spans="1:4" x14ac:dyDescent="0.3">
      <c r="A958" s="22">
        <v>256</v>
      </c>
      <c r="B958" s="22">
        <v>12</v>
      </c>
      <c r="C958" s="22">
        <v>4500</v>
      </c>
      <c r="D958" s="22">
        <v>7</v>
      </c>
    </row>
    <row r="959" spans="1:4" x14ac:dyDescent="0.3">
      <c r="A959" s="22">
        <v>64</v>
      </c>
      <c r="B959" s="22">
        <v>200</v>
      </c>
      <c r="C959" s="22">
        <v>4500</v>
      </c>
      <c r="D959" s="22">
        <v>5.8</v>
      </c>
    </row>
    <row r="960" spans="1:4" x14ac:dyDescent="0.3">
      <c r="A960" s="22">
        <v>64</v>
      </c>
      <c r="B960" s="22">
        <v>64</v>
      </c>
      <c r="C960" s="22">
        <v>4500</v>
      </c>
      <c r="D960" s="22">
        <v>6.7</v>
      </c>
    </row>
    <row r="961" spans="1:4" x14ac:dyDescent="0.3">
      <c r="A961" s="22">
        <v>128</v>
      </c>
      <c r="B961" s="22">
        <v>64</v>
      </c>
      <c r="C961" s="22">
        <v>4000</v>
      </c>
      <c r="D961" s="22">
        <v>6</v>
      </c>
    </row>
    <row r="962" spans="1:4" x14ac:dyDescent="0.3">
      <c r="A962" s="22">
        <v>512</v>
      </c>
      <c r="B962" s="22">
        <v>200</v>
      </c>
      <c r="C962" s="22">
        <v>6000</v>
      </c>
      <c r="D962" s="22">
        <v>6.2</v>
      </c>
    </row>
    <row r="963" spans="1:4" x14ac:dyDescent="0.3">
      <c r="A963" s="22">
        <v>1024</v>
      </c>
      <c r="B963" s="22">
        <v>200</v>
      </c>
      <c r="C963" s="22">
        <v>5000</v>
      </c>
      <c r="D963" s="22">
        <v>6.5</v>
      </c>
    </row>
    <row r="964" spans="1:4" x14ac:dyDescent="0.3">
      <c r="A964" s="22">
        <v>512</v>
      </c>
      <c r="B964" s="22">
        <v>12</v>
      </c>
      <c r="C964" s="22">
        <v>4000</v>
      </c>
      <c r="D964" s="22">
        <v>6.5</v>
      </c>
    </row>
    <row r="965" spans="1:4" x14ac:dyDescent="0.3">
      <c r="A965" s="22">
        <v>128</v>
      </c>
      <c r="B965" s="22">
        <v>200</v>
      </c>
      <c r="C965" s="22">
        <v>5500</v>
      </c>
      <c r="D965" s="22">
        <v>6.9</v>
      </c>
    </row>
    <row r="966" spans="1:4" x14ac:dyDescent="0.3">
      <c r="A966" s="22">
        <v>512</v>
      </c>
      <c r="B966" s="22">
        <v>64</v>
      </c>
      <c r="C966" s="22">
        <v>4000</v>
      </c>
      <c r="D966" s="22">
        <v>7.2</v>
      </c>
    </row>
    <row r="967" spans="1:4" x14ac:dyDescent="0.3">
      <c r="A967" s="22">
        <v>512</v>
      </c>
      <c r="B967" s="22">
        <v>108</v>
      </c>
      <c r="C967" s="22">
        <v>5000</v>
      </c>
      <c r="D967" s="22">
        <v>5.9</v>
      </c>
    </row>
    <row r="968" spans="1:4" x14ac:dyDescent="0.3">
      <c r="A968" s="22">
        <v>128</v>
      </c>
      <c r="B968" s="22">
        <v>200</v>
      </c>
      <c r="C968" s="22">
        <v>5500</v>
      </c>
      <c r="D968" s="22">
        <v>6.7</v>
      </c>
    </row>
    <row r="969" spans="1:4" x14ac:dyDescent="0.3">
      <c r="A969" s="22">
        <v>64</v>
      </c>
      <c r="B969" s="22">
        <v>200</v>
      </c>
      <c r="C969" s="22">
        <v>6000</v>
      </c>
      <c r="D969" s="22">
        <v>5.6</v>
      </c>
    </row>
    <row r="970" spans="1:4" x14ac:dyDescent="0.3">
      <c r="A970" s="22">
        <v>128</v>
      </c>
      <c r="B970" s="22">
        <v>64</v>
      </c>
      <c r="C970" s="22">
        <v>5000</v>
      </c>
      <c r="D970" s="22">
        <v>5.8</v>
      </c>
    </row>
    <row r="971" spans="1:4" x14ac:dyDescent="0.3">
      <c r="A971" s="22">
        <v>1024</v>
      </c>
      <c r="B971" s="22">
        <v>200</v>
      </c>
      <c r="C971" s="22">
        <v>5500</v>
      </c>
      <c r="D971" s="22">
        <v>6.3</v>
      </c>
    </row>
    <row r="972" spans="1:4" x14ac:dyDescent="0.3">
      <c r="A972" s="22">
        <v>128</v>
      </c>
      <c r="B972" s="22">
        <v>200</v>
      </c>
      <c r="C972" s="22">
        <v>6000</v>
      </c>
      <c r="D972" s="22">
        <v>6.5</v>
      </c>
    </row>
    <row r="973" spans="1:4" x14ac:dyDescent="0.3">
      <c r="A973" s="22">
        <v>128</v>
      </c>
      <c r="B973" s="22">
        <v>12</v>
      </c>
      <c r="C973" s="22">
        <v>5000</v>
      </c>
      <c r="D973" s="22">
        <v>5.8</v>
      </c>
    </row>
    <row r="974" spans="1:4" x14ac:dyDescent="0.3">
      <c r="A974" s="22">
        <v>512</v>
      </c>
      <c r="B974" s="22">
        <v>48</v>
      </c>
      <c r="C974" s="22">
        <v>4000</v>
      </c>
      <c r="D974" s="22">
        <v>6.9</v>
      </c>
    </row>
    <row r="975" spans="1:4" x14ac:dyDescent="0.3">
      <c r="A975" s="22">
        <v>256</v>
      </c>
      <c r="B975" s="22">
        <v>50</v>
      </c>
      <c r="C975" s="22">
        <v>6000</v>
      </c>
      <c r="D975" s="22">
        <v>5.5</v>
      </c>
    </row>
    <row r="976" spans="1:4" x14ac:dyDescent="0.3">
      <c r="A976" s="22">
        <v>256</v>
      </c>
      <c r="B976" s="22">
        <v>108</v>
      </c>
      <c r="C976" s="22">
        <v>4000</v>
      </c>
      <c r="D976" s="22">
        <v>6.1</v>
      </c>
    </row>
    <row r="977" spans="1:4" x14ac:dyDescent="0.3">
      <c r="A977" s="22">
        <v>1024</v>
      </c>
      <c r="B977" s="22">
        <v>108</v>
      </c>
      <c r="C977" s="22">
        <v>4500</v>
      </c>
      <c r="D977" s="22">
        <v>6.9</v>
      </c>
    </row>
    <row r="978" spans="1:4" x14ac:dyDescent="0.3">
      <c r="A978" s="22">
        <v>128</v>
      </c>
      <c r="B978" s="22">
        <v>48</v>
      </c>
      <c r="C978" s="22">
        <v>6000</v>
      </c>
      <c r="D978" s="22">
        <v>6.3</v>
      </c>
    </row>
    <row r="979" spans="1:4" x14ac:dyDescent="0.3">
      <c r="A979" s="22">
        <v>1024</v>
      </c>
      <c r="B979" s="22">
        <v>64</v>
      </c>
      <c r="C979" s="22">
        <v>5500</v>
      </c>
      <c r="D979" s="22">
        <v>6.8</v>
      </c>
    </row>
    <row r="980" spans="1:4" x14ac:dyDescent="0.3">
      <c r="A980" s="22">
        <v>64</v>
      </c>
      <c r="B980" s="22">
        <v>108</v>
      </c>
      <c r="C980" s="22">
        <v>4000</v>
      </c>
      <c r="D980" s="22">
        <v>6.1</v>
      </c>
    </row>
    <row r="981" spans="1:4" x14ac:dyDescent="0.3">
      <c r="A981" s="22">
        <v>64</v>
      </c>
      <c r="B981" s="22">
        <v>108</v>
      </c>
      <c r="C981" s="22">
        <v>5500</v>
      </c>
      <c r="D981" s="22">
        <v>6.6</v>
      </c>
    </row>
    <row r="982" spans="1:4" x14ac:dyDescent="0.3">
      <c r="A982" s="22">
        <v>256</v>
      </c>
      <c r="B982" s="22">
        <v>108</v>
      </c>
      <c r="C982" s="22">
        <v>5500</v>
      </c>
      <c r="D982" s="22">
        <v>6.7</v>
      </c>
    </row>
    <row r="983" spans="1:4" x14ac:dyDescent="0.3">
      <c r="A983" s="22">
        <v>512</v>
      </c>
      <c r="B983" s="22">
        <v>200</v>
      </c>
      <c r="C983" s="22">
        <v>6000</v>
      </c>
      <c r="D983" s="22">
        <v>5.7</v>
      </c>
    </row>
    <row r="984" spans="1:4" x14ac:dyDescent="0.3">
      <c r="A984" s="22">
        <v>1024</v>
      </c>
      <c r="B984" s="22">
        <v>12</v>
      </c>
      <c r="C984" s="22">
        <v>5500</v>
      </c>
      <c r="D984" s="22">
        <v>6</v>
      </c>
    </row>
    <row r="985" spans="1:4" x14ac:dyDescent="0.3">
      <c r="A985" s="22">
        <v>1024</v>
      </c>
      <c r="B985" s="22">
        <v>108</v>
      </c>
      <c r="C985" s="22">
        <v>4000</v>
      </c>
      <c r="D985" s="22">
        <v>6.2</v>
      </c>
    </row>
    <row r="986" spans="1:4" x14ac:dyDescent="0.3">
      <c r="A986" s="22">
        <v>256</v>
      </c>
      <c r="B986" s="22">
        <v>200</v>
      </c>
      <c r="C986" s="22">
        <v>5000</v>
      </c>
      <c r="D986" s="22">
        <v>5.9</v>
      </c>
    </row>
    <row r="987" spans="1:4" x14ac:dyDescent="0.3">
      <c r="A987" s="22">
        <v>256</v>
      </c>
      <c r="B987" s="22">
        <v>48</v>
      </c>
      <c r="C987" s="22">
        <v>4000</v>
      </c>
      <c r="D987" s="22">
        <v>6.6</v>
      </c>
    </row>
    <row r="988" spans="1:4" x14ac:dyDescent="0.3">
      <c r="A988" s="22">
        <v>256</v>
      </c>
      <c r="B988" s="22">
        <v>64</v>
      </c>
      <c r="C988" s="22">
        <v>6000</v>
      </c>
      <c r="D988" s="22">
        <v>6.5</v>
      </c>
    </row>
    <row r="989" spans="1:4" x14ac:dyDescent="0.3">
      <c r="A989" s="22">
        <v>512</v>
      </c>
      <c r="B989" s="22">
        <v>108</v>
      </c>
      <c r="C989" s="22">
        <v>6000</v>
      </c>
      <c r="D989" s="22">
        <v>6.3</v>
      </c>
    </row>
    <row r="990" spans="1:4" x14ac:dyDescent="0.3">
      <c r="A990" s="22">
        <v>512</v>
      </c>
      <c r="B990" s="22">
        <v>48</v>
      </c>
      <c r="C990" s="22">
        <v>5000</v>
      </c>
      <c r="D990" s="22">
        <v>6.4</v>
      </c>
    </row>
    <row r="991" spans="1:4" x14ac:dyDescent="0.3">
      <c r="A991" s="22">
        <v>512</v>
      </c>
      <c r="B991" s="22">
        <v>64</v>
      </c>
      <c r="C991" s="22">
        <v>4000</v>
      </c>
      <c r="D991" s="22">
        <v>6.6</v>
      </c>
    </row>
    <row r="992" spans="1:4" x14ac:dyDescent="0.3">
      <c r="A992" s="22">
        <v>512</v>
      </c>
      <c r="B992" s="22">
        <v>50</v>
      </c>
      <c r="C992" s="22">
        <v>5500</v>
      </c>
      <c r="D992" s="22">
        <v>7</v>
      </c>
    </row>
    <row r="993" spans="1:4" x14ac:dyDescent="0.3">
      <c r="A993" s="22">
        <v>512</v>
      </c>
      <c r="B993" s="22">
        <v>48</v>
      </c>
      <c r="C993" s="22">
        <v>5000</v>
      </c>
      <c r="D993" s="22">
        <v>6.5</v>
      </c>
    </row>
    <row r="994" spans="1:4" x14ac:dyDescent="0.3">
      <c r="A994" s="22">
        <v>64</v>
      </c>
      <c r="B994" s="22">
        <v>48</v>
      </c>
      <c r="C994" s="22">
        <v>5500</v>
      </c>
      <c r="D994" s="22">
        <v>6.3</v>
      </c>
    </row>
    <row r="995" spans="1:4" x14ac:dyDescent="0.3">
      <c r="A995" s="22">
        <v>1024</v>
      </c>
      <c r="B995" s="22">
        <v>48</v>
      </c>
      <c r="C995" s="22">
        <v>6000</v>
      </c>
      <c r="D995" s="22">
        <v>6.7</v>
      </c>
    </row>
    <row r="996" spans="1:4" x14ac:dyDescent="0.3">
      <c r="A996" s="22">
        <v>64</v>
      </c>
      <c r="B996" s="22">
        <v>64</v>
      </c>
      <c r="C996" s="22">
        <v>5000</v>
      </c>
      <c r="D996" s="22">
        <v>5.6</v>
      </c>
    </row>
    <row r="997" spans="1:4" x14ac:dyDescent="0.3">
      <c r="A997" s="22">
        <v>1024</v>
      </c>
      <c r="B997" s="22">
        <v>12</v>
      </c>
      <c r="C997" s="22">
        <v>5000</v>
      </c>
      <c r="D997" s="22">
        <v>7</v>
      </c>
    </row>
    <row r="998" spans="1:4" x14ac:dyDescent="0.3">
      <c r="A998" s="22">
        <v>256</v>
      </c>
      <c r="B998" s="22">
        <v>64</v>
      </c>
      <c r="C998" s="22">
        <v>4000</v>
      </c>
      <c r="D998" s="22">
        <v>5.7</v>
      </c>
    </row>
    <row r="999" spans="1:4" x14ac:dyDescent="0.3">
      <c r="A999" s="22">
        <v>512</v>
      </c>
      <c r="B999" s="22">
        <v>50</v>
      </c>
      <c r="C999" s="22">
        <v>5000</v>
      </c>
      <c r="D999" s="22">
        <v>5.7</v>
      </c>
    </row>
    <row r="1000" spans="1:4" x14ac:dyDescent="0.3">
      <c r="A1000" s="22">
        <v>512</v>
      </c>
      <c r="B1000" s="22">
        <v>12</v>
      </c>
      <c r="C1000" s="22">
        <v>5000</v>
      </c>
      <c r="D1000" s="22">
        <v>6.6</v>
      </c>
    </row>
    <row r="1001" spans="1:4" x14ac:dyDescent="0.3">
      <c r="A1001" s="22">
        <v>256</v>
      </c>
      <c r="B1001" s="22">
        <v>108</v>
      </c>
      <c r="C1001" s="22">
        <v>5000</v>
      </c>
      <c r="D1001" s="22">
        <v>7.1</v>
      </c>
    </row>
  </sheetData>
  <mergeCells count="1">
    <mergeCell ref="N17:Q2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1d940c-9a34-498b-94cf-000fad36d3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D29CBBD7235A469CF7310917D26707" ma:contentTypeVersion="5" ma:contentTypeDescription="Create a new document." ma:contentTypeScope="" ma:versionID="541c9cc9d52b8b649a7ceed0e6026ceb">
  <xsd:schema xmlns:xsd="http://www.w3.org/2001/XMLSchema" xmlns:xs="http://www.w3.org/2001/XMLSchema" xmlns:p="http://schemas.microsoft.com/office/2006/metadata/properties" xmlns:ns3="2c1d940c-9a34-498b-94cf-000fad36d3fc" targetNamespace="http://schemas.microsoft.com/office/2006/metadata/properties" ma:root="true" ma:fieldsID="1d73372b9d5f302b9e4e63075821fd32" ns3:_="">
    <xsd:import namespace="2c1d940c-9a34-498b-94cf-000fad36d3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d940c-9a34-498b-94cf-000fad36d3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A06DE-1190-4260-8F70-F9DF13792668}">
  <ds:schemaRefs>
    <ds:schemaRef ds:uri="http://schemas.microsoft.com/office/2006/metadata/properties"/>
    <ds:schemaRef ds:uri="http://www.w3.org/2000/xmlns/"/>
    <ds:schemaRef ds:uri="2c1d940c-9a34-498b-94cf-000fad36d3fc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409F48-C490-456C-A8E9-5053C15D0B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B561DB-499E-492C-B84E-63841B52623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c1d940c-9a34-498b-94cf-000fad36d3f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Global_Mobile_Prices_2025_Exten</vt:lpstr>
      <vt:lpstr>Grouping (Lorenz)</vt:lpstr>
      <vt:lpstr>Box-plots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Asel Aitkulova</dc:creator>
  <cp:keywords/>
  <dc:description/>
  <cp:lastModifiedBy>Aitkulova Asel</cp:lastModifiedBy>
  <cp:revision/>
  <dcterms:created xsi:type="dcterms:W3CDTF">2025-11-15T14:22:23Z</dcterms:created>
  <dcterms:modified xsi:type="dcterms:W3CDTF">2025-12-15T09:43:06Z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0x010100F4D29CBBD7235A469CF7310917D26707</vt:lpwstr>
  </property>
</Properties>
</file>